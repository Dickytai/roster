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Personal File\Dicky\DUTY\2026\"/>
    </mc:Choice>
  </mc:AlternateContent>
  <xr:revisionPtr revIDLastSave="0" documentId="13_ncr:1_{A301B831-3835-43F8-A1D2-43BDD1469945}" xr6:coauthVersionLast="47" xr6:coauthVersionMax="47" xr10:uidLastSave="{00000000-0000-0000-0000-000000000000}"/>
  <bookViews>
    <workbookView xWindow="-120" yWindow="-120" windowWidth="29040" windowHeight="15720" tabRatio="643" xr2:uid="{BB7D77F7-4583-48D1-A3C1-2A2E90C314BC}"/>
  </bookViews>
  <sheets>
    <sheet name="Master" sheetId="3" r:id="rId1"/>
    <sheet name="Jan" sheetId="6" r:id="rId2"/>
    <sheet name="Feb" sheetId="7" r:id="rId3"/>
    <sheet name="Mar" sheetId="8" r:id="rId4"/>
    <sheet name="Apr" sheetId="9" r:id="rId5"/>
    <sheet name="May" sheetId="10" r:id="rId6"/>
    <sheet name="Jun" sheetId="11" r:id="rId7"/>
    <sheet name="Jul" sheetId="12" r:id="rId8"/>
    <sheet name="Aug" sheetId="13" r:id="rId9"/>
    <sheet name="Sep" sheetId="14" r:id="rId10"/>
    <sheet name="Oct" sheetId="15" r:id="rId11"/>
    <sheet name="Nov" sheetId="16" r:id="rId12"/>
    <sheet name="Dec" sheetId="17" r:id="rId13"/>
    <sheet name="On call stat" sheetId="5" r:id="rId14"/>
    <sheet name="PH" sheetId="2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1" i="17" l="1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C19" i="11"/>
  <c r="C20" i="11"/>
  <c r="C21" i="11"/>
  <c r="C22" i="11"/>
  <c r="C23" i="11"/>
  <c r="C24" i="11"/>
  <c r="C25" i="11"/>
  <c r="C26" i="11"/>
  <c r="C27" i="11"/>
  <c r="C28" i="11"/>
  <c r="C31" i="11"/>
  <c r="C18" i="11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C18" i="10"/>
  <c r="E31" i="9"/>
  <c r="F31" i="9"/>
  <c r="H31" i="9"/>
  <c r="I31" i="9"/>
  <c r="E19" i="9"/>
  <c r="F19" i="9"/>
  <c r="H19" i="9"/>
  <c r="I19" i="9"/>
  <c r="E20" i="9"/>
  <c r="F20" i="9"/>
  <c r="H20" i="9"/>
  <c r="I20" i="9"/>
  <c r="E21" i="9"/>
  <c r="F21" i="9"/>
  <c r="H21" i="9"/>
  <c r="I21" i="9"/>
  <c r="E22" i="9"/>
  <c r="F22" i="9"/>
  <c r="H22" i="9"/>
  <c r="I22" i="9"/>
  <c r="E23" i="9"/>
  <c r="F23" i="9"/>
  <c r="H23" i="9"/>
  <c r="I23" i="9"/>
  <c r="E24" i="9"/>
  <c r="F24" i="9"/>
  <c r="H24" i="9"/>
  <c r="I24" i="9"/>
  <c r="E25" i="9"/>
  <c r="F25" i="9"/>
  <c r="H25" i="9"/>
  <c r="I25" i="9"/>
  <c r="E26" i="9"/>
  <c r="F26" i="9"/>
  <c r="H26" i="9"/>
  <c r="I26" i="9"/>
  <c r="E27" i="9"/>
  <c r="F27" i="9"/>
  <c r="H27" i="9"/>
  <c r="I27" i="9"/>
  <c r="E28" i="9"/>
  <c r="F28" i="9"/>
  <c r="H28" i="9"/>
  <c r="I28" i="9"/>
  <c r="E18" i="9"/>
  <c r="F18" i="9"/>
  <c r="H18" i="9"/>
  <c r="I18" i="9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C18" i="8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C19" i="7"/>
  <c r="C20" i="7"/>
  <c r="C21" i="7"/>
  <c r="C22" i="7"/>
  <c r="C23" i="7"/>
  <c r="C24" i="7"/>
  <c r="C25" i="7"/>
  <c r="C26" i="7"/>
  <c r="C27" i="7"/>
  <c r="C28" i="7"/>
  <c r="C31" i="7"/>
  <c r="C18" i="7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D9" i="6"/>
  <c r="E9" i="6"/>
  <c r="F9" i="6"/>
  <c r="G9" i="6"/>
  <c r="H9" i="6"/>
  <c r="I9" i="6"/>
  <c r="J9" i="6"/>
  <c r="D18" i="6" s="1"/>
  <c r="K9" i="6"/>
  <c r="L9" i="6"/>
  <c r="M9" i="6"/>
  <c r="P18" i="6" s="1"/>
  <c r="N9" i="6"/>
  <c r="O9" i="6"/>
  <c r="P9" i="6"/>
  <c r="Q9" i="6"/>
  <c r="R9" i="6"/>
  <c r="Y18" i="6" s="1"/>
  <c r="S9" i="6"/>
  <c r="O18" i="6"/>
  <c r="AA18" i="6"/>
  <c r="C18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AB10" i="6"/>
  <c r="AC10" i="6"/>
  <c r="AD10" i="6"/>
  <c r="AE10" i="6"/>
  <c r="AF10" i="6"/>
  <c r="AG10" i="6"/>
  <c r="AC9" i="7"/>
  <c r="AP27" i="17"/>
  <c r="AP28" i="17"/>
  <c r="AP29" i="17"/>
  <c r="AP30" i="17"/>
  <c r="AP27" i="16"/>
  <c r="AP28" i="16"/>
  <c r="AP29" i="16"/>
  <c r="AP30" i="16"/>
  <c r="AP27" i="15"/>
  <c r="AP28" i="15"/>
  <c r="AP29" i="15"/>
  <c r="AP30" i="15"/>
  <c r="AP27" i="14"/>
  <c r="AP28" i="14"/>
  <c r="AP29" i="14"/>
  <c r="AP30" i="14"/>
  <c r="AP27" i="13"/>
  <c r="AP28" i="13"/>
  <c r="AP29" i="13"/>
  <c r="AP30" i="13"/>
  <c r="AP27" i="12"/>
  <c r="AP28" i="12"/>
  <c r="AP29" i="12"/>
  <c r="AP30" i="12"/>
  <c r="AP27" i="11"/>
  <c r="AP28" i="11"/>
  <c r="AP29" i="11"/>
  <c r="AP30" i="11"/>
  <c r="AP27" i="10"/>
  <c r="AP28" i="10"/>
  <c r="AP29" i="10"/>
  <c r="AP30" i="10"/>
  <c r="AP27" i="9"/>
  <c r="AP28" i="9"/>
  <c r="AP29" i="9"/>
  <c r="AP30" i="9"/>
  <c r="AP27" i="8"/>
  <c r="AP28" i="8"/>
  <c r="AP29" i="8"/>
  <c r="AP30" i="8"/>
  <c r="AP27" i="7"/>
  <c r="AP28" i="7"/>
  <c r="AP29" i="7"/>
  <c r="AP30" i="7"/>
  <c r="AM19" i="11" a="1"/>
  <c r="AM31" i="17" a="1"/>
  <c r="AM30" i="17" a="1"/>
  <c r="AM30" i="17" s="1"/>
  <c r="AM29" i="17" a="1"/>
  <c r="AM29" i="17" s="1"/>
  <c r="AM28" i="17" a="1"/>
  <c r="AM27" i="17" a="1"/>
  <c r="AM26" i="17" a="1"/>
  <c r="AM25" i="17" a="1"/>
  <c r="AM24" i="17" a="1"/>
  <c r="AM23" i="17" a="1"/>
  <c r="AM22" i="17" a="1"/>
  <c r="AM21" i="17" a="1"/>
  <c r="AM20" i="17" a="1"/>
  <c r="AM19" i="17" a="1"/>
  <c r="AM18" i="17" a="1"/>
  <c r="AM31" i="16" a="1"/>
  <c r="AM30" i="16" a="1"/>
  <c r="AM30" i="16" s="1"/>
  <c r="AM29" i="16" a="1"/>
  <c r="AM29" i="16" s="1"/>
  <c r="AM28" i="16" a="1"/>
  <c r="AM27" i="16" a="1"/>
  <c r="AM26" i="16" a="1"/>
  <c r="AM25" i="16" a="1"/>
  <c r="AM24" i="16" a="1"/>
  <c r="AM23" i="16" a="1"/>
  <c r="AM22" i="16" a="1"/>
  <c r="AM22" i="16" s="1"/>
  <c r="AM21" i="16" a="1"/>
  <c r="AM20" i="16" a="1"/>
  <c r="AM19" i="16" a="1"/>
  <c r="AM18" i="16" a="1"/>
  <c r="AM31" i="15" a="1"/>
  <c r="AM30" i="15" a="1"/>
  <c r="AM30" i="15" s="1"/>
  <c r="AM29" i="15" a="1"/>
  <c r="AM29" i="15" s="1"/>
  <c r="AM28" i="15" a="1"/>
  <c r="AM27" i="15" a="1"/>
  <c r="AM26" i="15" a="1"/>
  <c r="AM25" i="15" a="1"/>
  <c r="AM24" i="15" a="1"/>
  <c r="AM23" i="15" a="1"/>
  <c r="AM22" i="15" a="1"/>
  <c r="AM22" i="15" s="1"/>
  <c r="AM21" i="15" a="1"/>
  <c r="AM20" i="15" a="1"/>
  <c r="AM19" i="15" a="1"/>
  <c r="AM18" i="15" a="1"/>
  <c r="AM31" i="14" a="1"/>
  <c r="AM30" i="14" a="1"/>
  <c r="AM30" i="14" s="1"/>
  <c r="AM29" i="14" a="1"/>
  <c r="AM29" i="14" s="1"/>
  <c r="AM28" i="14" a="1"/>
  <c r="AM27" i="14" a="1"/>
  <c r="AM26" i="14" a="1"/>
  <c r="AM25" i="14" a="1"/>
  <c r="AM24" i="14" a="1"/>
  <c r="AM23" i="14" a="1"/>
  <c r="AM22" i="14" a="1"/>
  <c r="AM21" i="14" a="1"/>
  <c r="AM20" i="14" a="1"/>
  <c r="AM19" i="14" a="1"/>
  <c r="AM18" i="14" a="1"/>
  <c r="AM31" i="13" a="1"/>
  <c r="AM30" i="13" a="1"/>
  <c r="AM30" i="13" s="1"/>
  <c r="AM29" i="13" a="1"/>
  <c r="AM29" i="13" s="1"/>
  <c r="AM28" i="13" a="1"/>
  <c r="AM27" i="13" a="1"/>
  <c r="AM26" i="13" a="1"/>
  <c r="AM25" i="13" a="1"/>
  <c r="AM24" i="13" a="1"/>
  <c r="AM23" i="13" a="1"/>
  <c r="AM22" i="13" a="1"/>
  <c r="AM21" i="13" a="1"/>
  <c r="AM20" i="13" a="1"/>
  <c r="AM19" i="13" a="1"/>
  <c r="AM18" i="13" a="1"/>
  <c r="AM31" i="12" a="1"/>
  <c r="AM30" i="12" a="1"/>
  <c r="AM30" i="12" s="1"/>
  <c r="AM29" i="12" a="1"/>
  <c r="AM29" i="12" s="1"/>
  <c r="AM28" i="12" a="1"/>
  <c r="AM27" i="12" a="1"/>
  <c r="AM26" i="12" a="1"/>
  <c r="AM25" i="12" a="1"/>
  <c r="AM24" i="12" a="1"/>
  <c r="AM23" i="12" a="1"/>
  <c r="AM22" i="12" a="1"/>
  <c r="AM21" i="12" a="1"/>
  <c r="AM20" i="12" a="1"/>
  <c r="AM19" i="12" a="1"/>
  <c r="AM18" i="12" a="1"/>
  <c r="AM31" i="11" a="1"/>
  <c r="AM30" i="11" a="1"/>
  <c r="AM29" i="11" a="1"/>
  <c r="AM28" i="11" a="1"/>
  <c r="AM27" i="11" a="1"/>
  <c r="AM26" i="11" a="1"/>
  <c r="AM25" i="11" a="1"/>
  <c r="AM24" i="11" a="1"/>
  <c r="AM23" i="11" a="1"/>
  <c r="AM22" i="11" a="1"/>
  <c r="AM21" i="11" a="1"/>
  <c r="AM20" i="11" a="1"/>
  <c r="AM18" i="11" a="1"/>
  <c r="AM31" i="10" a="1"/>
  <c r="AM30" i="10" a="1"/>
  <c r="AM29" i="10" a="1"/>
  <c r="AM29" i="10" s="1"/>
  <c r="AM28" i="10" a="1"/>
  <c r="AM27" i="10" a="1"/>
  <c r="AM26" i="10" a="1"/>
  <c r="AM25" i="10" a="1"/>
  <c r="AM24" i="10" a="1"/>
  <c r="AM23" i="10" a="1"/>
  <c r="AM22" i="10" a="1"/>
  <c r="AM21" i="10" a="1"/>
  <c r="AM20" i="10" a="1"/>
  <c r="AM19" i="10" a="1"/>
  <c r="AM18" i="10" a="1"/>
  <c r="AM31" i="9" a="1"/>
  <c r="AM30" i="9" a="1"/>
  <c r="AM29" i="9" a="1"/>
  <c r="AM28" i="9" a="1"/>
  <c r="AM27" i="9" a="1"/>
  <c r="AM26" i="9" a="1"/>
  <c r="AM25" i="9" a="1"/>
  <c r="AM24" i="9" a="1"/>
  <c r="AM23" i="9" a="1"/>
  <c r="AM22" i="9" a="1"/>
  <c r="AM21" i="9" a="1"/>
  <c r="AM20" i="9" a="1"/>
  <c r="AM19" i="9" a="1"/>
  <c r="AM18" i="9" a="1"/>
  <c r="AM31" i="8" a="1"/>
  <c r="AM30" i="8" a="1"/>
  <c r="AM29" i="8" a="1"/>
  <c r="AM28" i="8" a="1"/>
  <c r="AM27" i="8" a="1"/>
  <c r="AM26" i="8" a="1"/>
  <c r="AM25" i="8" a="1"/>
  <c r="AM24" i="8" a="1"/>
  <c r="AM23" i="8" a="1"/>
  <c r="AM22" i="8" a="1"/>
  <c r="AM21" i="8" a="1"/>
  <c r="AM20" i="8" a="1"/>
  <c r="AM19" i="8" a="1"/>
  <c r="AM18" i="8" a="1"/>
  <c r="AM31" i="7" a="1"/>
  <c r="AM30" i="7" a="1"/>
  <c r="AM29" i="7" a="1"/>
  <c r="AM28" i="7" a="1"/>
  <c r="AM27" i="7" a="1"/>
  <c r="AM26" i="7" a="1"/>
  <c r="AM25" i="7" a="1"/>
  <c r="AM24" i="7" a="1"/>
  <c r="AM23" i="7" a="1"/>
  <c r="AM22" i="7" a="1"/>
  <c r="AM21" i="7" a="1"/>
  <c r="AM20" i="7" a="1"/>
  <c r="AM19" i="7" a="1"/>
  <c r="AM18" i="7" a="1"/>
  <c r="AM19" i="6" a="1"/>
  <c r="AM20" i="6" a="1"/>
  <c r="AM21" i="6" a="1"/>
  <c r="AM22" i="6" a="1"/>
  <c r="AM23" i="6" a="1"/>
  <c r="AM24" i="6" a="1"/>
  <c r="AM25" i="6" a="1"/>
  <c r="AM26" i="6" a="1"/>
  <c r="AM27" i="6" a="1"/>
  <c r="AM28" i="6" a="1"/>
  <c r="AM29" i="6" a="1"/>
  <c r="AM30" i="6" a="1"/>
  <c r="AM31" i="6" a="1"/>
  <c r="AM18" i="6" a="1"/>
  <c r="AM20" i="17" l="1"/>
  <c r="AM21" i="17"/>
  <c r="AM24" i="17"/>
  <c r="AM31" i="17"/>
  <c r="AM22" i="17"/>
  <c r="AM25" i="17"/>
  <c r="AM23" i="17"/>
  <c r="AM27" i="17"/>
  <c r="AM18" i="17"/>
  <c r="AM26" i="17"/>
  <c r="AM28" i="17"/>
  <c r="AM28" i="15"/>
  <c r="AM26" i="15"/>
  <c r="AM25" i="15"/>
  <c r="AM27" i="15"/>
  <c r="AM23" i="15"/>
  <c r="AM19" i="15"/>
  <c r="AM31" i="15"/>
  <c r="AM24" i="15"/>
  <c r="AM18" i="15"/>
  <c r="AM21" i="15"/>
  <c r="AM24" i="16"/>
  <c r="AM25" i="16"/>
  <c r="AM26" i="16"/>
  <c r="AM28" i="16"/>
  <c r="AM23" i="16"/>
  <c r="AM27" i="16"/>
  <c r="AM18" i="16"/>
  <c r="AM31" i="16"/>
  <c r="AM20" i="16"/>
  <c r="AM19" i="16"/>
  <c r="AM21" i="16"/>
  <c r="AM29" i="11"/>
  <c r="AM30" i="11"/>
  <c r="AM30" i="10"/>
  <c r="AM29" i="9"/>
  <c r="AM30" i="9"/>
  <c r="AM29" i="8"/>
  <c r="AM30" i="8"/>
  <c r="AM29" i="7"/>
  <c r="AM30" i="7"/>
  <c r="AG18" i="6"/>
  <c r="AB18" i="6"/>
  <c r="X18" i="6"/>
  <c r="W18" i="6"/>
  <c r="K18" i="6"/>
  <c r="Z18" i="6"/>
  <c r="L18" i="6"/>
  <c r="V18" i="6"/>
  <c r="J18" i="6"/>
  <c r="I18" i="6"/>
  <c r="U18" i="6"/>
  <c r="AF18" i="6"/>
  <c r="T18" i="6"/>
  <c r="H18" i="6"/>
  <c r="AE18" i="6"/>
  <c r="S18" i="6"/>
  <c r="G18" i="6"/>
  <c r="M18" i="6"/>
  <c r="AD18" i="6"/>
  <c r="R18" i="6"/>
  <c r="F18" i="6"/>
  <c r="N18" i="6"/>
  <c r="AC18" i="6"/>
  <c r="Q18" i="6"/>
  <c r="E18" i="6"/>
  <c r="AM20" i="15"/>
  <c r="AM19" i="17"/>
  <c r="AO16" i="17"/>
  <c r="AN16" i="17"/>
  <c r="AM16" i="17"/>
  <c r="AL16" i="17"/>
  <c r="AK16" i="17"/>
  <c r="AO16" i="16"/>
  <c r="AN16" i="16"/>
  <c r="AM16" i="16"/>
  <c r="AL16" i="16"/>
  <c r="AK16" i="16"/>
  <c r="AO16" i="15"/>
  <c r="AN16" i="15"/>
  <c r="AM16" i="15"/>
  <c r="AL16" i="15"/>
  <c r="AK16" i="15"/>
  <c r="AO16" i="14"/>
  <c r="AN16" i="14"/>
  <c r="AM16" i="14"/>
  <c r="AL16" i="14"/>
  <c r="AK16" i="14"/>
  <c r="AO16" i="13"/>
  <c r="AN16" i="13"/>
  <c r="AM16" i="13"/>
  <c r="AL16" i="13"/>
  <c r="AK16" i="13"/>
  <c r="AO16" i="12"/>
  <c r="AN16" i="12"/>
  <c r="AM16" i="12"/>
  <c r="AL16" i="12"/>
  <c r="AK16" i="12"/>
  <c r="AO16" i="11"/>
  <c r="AN16" i="11"/>
  <c r="AM16" i="11"/>
  <c r="AL16" i="11"/>
  <c r="AK16" i="11"/>
  <c r="AO16" i="10"/>
  <c r="AN16" i="10"/>
  <c r="AM16" i="10"/>
  <c r="AL16" i="10"/>
  <c r="AK16" i="10"/>
  <c r="AO16" i="9"/>
  <c r="AN16" i="9"/>
  <c r="AM16" i="9"/>
  <c r="AL16" i="9"/>
  <c r="AK16" i="9"/>
  <c r="AO16" i="8"/>
  <c r="AN16" i="8"/>
  <c r="AM16" i="8"/>
  <c r="AL16" i="8"/>
  <c r="AK16" i="8"/>
  <c r="AL16" i="7"/>
  <c r="AM16" i="7"/>
  <c r="AN16" i="7"/>
  <c r="AO16" i="7"/>
  <c r="AK16" i="7"/>
  <c r="AM29" i="6" l="1"/>
  <c r="AM30" i="6"/>
  <c r="E9" i="16"/>
  <c r="B1" i="5"/>
  <c r="C9" i="9"/>
  <c r="D9" i="8"/>
  <c r="Y8" i="8"/>
  <c r="Y9" i="8"/>
  <c r="Y10" i="8"/>
  <c r="Z8" i="8"/>
  <c r="AA8" i="8"/>
  <c r="AB8" i="8"/>
  <c r="AC8" i="8"/>
  <c r="AD8" i="8"/>
  <c r="AE8" i="8"/>
  <c r="AF8" i="8"/>
  <c r="AG8" i="8"/>
  <c r="Z9" i="8"/>
  <c r="AA9" i="8"/>
  <c r="AB9" i="8"/>
  <c r="AC9" i="8"/>
  <c r="AD9" i="8"/>
  <c r="AE9" i="8"/>
  <c r="AF9" i="8"/>
  <c r="AG9" i="8"/>
  <c r="Z10" i="8"/>
  <c r="AA10" i="8"/>
  <c r="AB10" i="8"/>
  <c r="AC10" i="8"/>
  <c r="AD10" i="8"/>
  <c r="AE10" i="8"/>
  <c r="AF10" i="8"/>
  <c r="AG10" i="8"/>
  <c r="Z7" i="8"/>
  <c r="AA7" i="8"/>
  <c r="AB7" i="8"/>
  <c r="AC7" i="8"/>
  <c r="AD7" i="8"/>
  <c r="AE7" i="8"/>
  <c r="AF7" i="8"/>
  <c r="AG7" i="8"/>
  <c r="D5" i="9"/>
  <c r="E5" i="9"/>
  <c r="F5" i="9"/>
  <c r="G5" i="9"/>
  <c r="H5" i="9"/>
  <c r="I5" i="9"/>
  <c r="J5" i="9"/>
  <c r="K5" i="9"/>
  <c r="L5" i="9"/>
  <c r="M5" i="9"/>
  <c r="N5" i="9"/>
  <c r="D6" i="9"/>
  <c r="E6" i="9"/>
  <c r="F6" i="9"/>
  <c r="G6" i="9"/>
  <c r="H6" i="9"/>
  <c r="I6" i="9"/>
  <c r="J6" i="9"/>
  <c r="K6" i="9"/>
  <c r="L6" i="9"/>
  <c r="M6" i="9"/>
  <c r="N6" i="9"/>
  <c r="D7" i="9"/>
  <c r="E7" i="9"/>
  <c r="F7" i="9"/>
  <c r="G7" i="9"/>
  <c r="H7" i="9"/>
  <c r="I7" i="9"/>
  <c r="J7" i="9"/>
  <c r="K7" i="9"/>
  <c r="L7" i="9"/>
  <c r="M7" i="9"/>
  <c r="N7" i="9"/>
  <c r="D8" i="9"/>
  <c r="E8" i="9"/>
  <c r="F8" i="9"/>
  <c r="G8" i="9"/>
  <c r="H8" i="9"/>
  <c r="I8" i="9"/>
  <c r="J8" i="9"/>
  <c r="K8" i="9"/>
  <c r="L8" i="9"/>
  <c r="M8" i="9"/>
  <c r="N8" i="9"/>
  <c r="D9" i="9"/>
  <c r="E9" i="9"/>
  <c r="F9" i="9"/>
  <c r="G9" i="9"/>
  <c r="H9" i="9"/>
  <c r="I9" i="9"/>
  <c r="J9" i="9"/>
  <c r="K9" i="9"/>
  <c r="L9" i="9"/>
  <c r="M9" i="9"/>
  <c r="N9" i="9"/>
  <c r="D10" i="9"/>
  <c r="E10" i="9"/>
  <c r="F10" i="9"/>
  <c r="G10" i="9"/>
  <c r="H10" i="9"/>
  <c r="I10" i="9"/>
  <c r="M10" i="9"/>
  <c r="C6" i="9"/>
  <c r="C7" i="9"/>
  <c r="C8" i="9"/>
  <c r="C10" i="9"/>
  <c r="D7" i="17" l="1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C8" i="17"/>
  <c r="C9" i="17"/>
  <c r="C10" i="17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D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C7" i="16"/>
  <c r="C8" i="16"/>
  <c r="C9" i="16"/>
  <c r="C10" i="16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C8" i="15"/>
  <c r="C9" i="15"/>
  <c r="C10" i="15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C7" i="14"/>
  <c r="C8" i="14"/>
  <c r="C9" i="14"/>
  <c r="C10" i="14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C8" i="13"/>
  <c r="C9" i="13"/>
  <c r="C10" i="13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C8" i="12"/>
  <c r="C9" i="12"/>
  <c r="C10" i="12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C7" i="11"/>
  <c r="C8" i="11"/>
  <c r="C9" i="11"/>
  <c r="C10" i="11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C8" i="10"/>
  <c r="C9" i="10"/>
  <c r="C10" i="10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O9" i="9"/>
  <c r="J28" i="9" s="1"/>
  <c r="P9" i="9"/>
  <c r="AB24" i="9" s="1"/>
  <c r="Q9" i="9"/>
  <c r="R9" i="9"/>
  <c r="S9" i="9"/>
  <c r="AA20" i="9" s="1"/>
  <c r="T9" i="9"/>
  <c r="U9" i="9"/>
  <c r="V9" i="9"/>
  <c r="W9" i="9"/>
  <c r="X9" i="9"/>
  <c r="Y9" i="9"/>
  <c r="Z9" i="9"/>
  <c r="AA9" i="9"/>
  <c r="AB9" i="9"/>
  <c r="AC9" i="9"/>
  <c r="AD9" i="9"/>
  <c r="AE9" i="9"/>
  <c r="AF9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C8" i="8"/>
  <c r="C9" i="8"/>
  <c r="C10" i="8"/>
  <c r="V5" i="7"/>
  <c r="W5" i="7"/>
  <c r="X5" i="7"/>
  <c r="Y5" i="7"/>
  <c r="Z5" i="7"/>
  <c r="AA5" i="7"/>
  <c r="AB5" i="7"/>
  <c r="AC5" i="7"/>
  <c r="AD5" i="7"/>
  <c r="V6" i="7"/>
  <c r="W6" i="7"/>
  <c r="X6" i="7"/>
  <c r="Y6" i="7"/>
  <c r="Z6" i="7"/>
  <c r="AA6" i="7"/>
  <c r="AB6" i="7"/>
  <c r="AC6" i="7"/>
  <c r="AD6" i="7"/>
  <c r="V7" i="7"/>
  <c r="W7" i="7"/>
  <c r="X7" i="7"/>
  <c r="Y7" i="7"/>
  <c r="Z7" i="7"/>
  <c r="AA7" i="7"/>
  <c r="AB7" i="7"/>
  <c r="AC7" i="7"/>
  <c r="AD7" i="7"/>
  <c r="V8" i="7"/>
  <c r="W8" i="7"/>
  <c r="X8" i="7"/>
  <c r="Y8" i="7"/>
  <c r="Z8" i="7"/>
  <c r="AA8" i="7"/>
  <c r="AB8" i="7"/>
  <c r="AC8" i="7"/>
  <c r="AD8" i="7"/>
  <c r="V9" i="7"/>
  <c r="W9" i="7"/>
  <c r="X9" i="7"/>
  <c r="Y9" i="7"/>
  <c r="Z9" i="7"/>
  <c r="AA9" i="7"/>
  <c r="AB9" i="7"/>
  <c r="V10" i="7"/>
  <c r="W10" i="7"/>
  <c r="X10" i="7"/>
  <c r="Y10" i="7"/>
  <c r="Z10" i="7"/>
  <c r="AA10" i="7"/>
  <c r="AB10" i="7"/>
  <c r="AC10" i="7"/>
  <c r="AD10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C8" i="7"/>
  <c r="C9" i="7"/>
  <c r="C10" i="7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C8" i="6"/>
  <c r="C9" i="6"/>
  <c r="C10" i="6"/>
  <c r="U5" i="6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C6" i="17"/>
  <c r="C7" i="17"/>
  <c r="C5" i="17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C6" i="16"/>
  <c r="C5" i="16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C6" i="15"/>
  <c r="C7" i="15"/>
  <c r="C5" i="15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C6" i="14"/>
  <c r="C5" i="14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C6" i="13"/>
  <c r="C7" i="13"/>
  <c r="C5" i="13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C6" i="12"/>
  <c r="C7" i="12"/>
  <c r="C5" i="12"/>
  <c r="B1" i="12"/>
  <c r="B16" i="12" s="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C6" i="11"/>
  <c r="C5" i="11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C6" i="10"/>
  <c r="C7" i="10"/>
  <c r="C5" i="10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C5" i="9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C6" i="8"/>
  <c r="C7" i="8"/>
  <c r="C5" i="8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C7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C5" i="7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C7" i="6"/>
  <c r="D5" i="6"/>
  <c r="E5" i="6"/>
  <c r="F5" i="6"/>
  <c r="N5" i="6"/>
  <c r="O5" i="6"/>
  <c r="P5" i="6"/>
  <c r="Q5" i="6"/>
  <c r="S5" i="6"/>
  <c r="T5" i="6"/>
  <c r="W5" i="6"/>
  <c r="X5" i="6"/>
  <c r="Y5" i="6"/>
  <c r="Z5" i="6"/>
  <c r="AA5" i="6"/>
  <c r="AB5" i="6"/>
  <c r="AC5" i="6"/>
  <c r="AD5" i="6"/>
  <c r="AE5" i="6"/>
  <c r="AF5" i="6"/>
  <c r="AG5" i="6"/>
  <c r="C5" i="6"/>
  <c r="B1" i="17"/>
  <c r="B16" i="17" s="1"/>
  <c r="B1" i="16"/>
  <c r="B1" i="15"/>
  <c r="B16" i="15" s="1"/>
  <c r="B1" i="14"/>
  <c r="B16" i="14" s="1"/>
  <c r="B1" i="13"/>
  <c r="B1" i="11"/>
  <c r="B16" i="11" s="1"/>
  <c r="B1" i="10"/>
  <c r="B16" i="10" s="1"/>
  <c r="B1" i="9"/>
  <c r="B16" i="9" s="1"/>
  <c r="B1" i="8"/>
  <c r="B16" i="8" s="1"/>
  <c r="B1" i="7"/>
  <c r="B16" i="7" s="1"/>
  <c r="B1" i="6"/>
  <c r="C3" i="3"/>
  <c r="D3" i="3"/>
  <c r="M5" i="5"/>
  <c r="N5" i="5"/>
  <c r="M6" i="5"/>
  <c r="N6" i="5"/>
  <c r="M7" i="5"/>
  <c r="N7" i="5"/>
  <c r="M8" i="5"/>
  <c r="N8" i="5"/>
  <c r="M9" i="5"/>
  <c r="N9" i="5"/>
  <c r="M10" i="5"/>
  <c r="N10" i="5"/>
  <c r="M11" i="5"/>
  <c r="N11" i="5"/>
  <c r="M12" i="5"/>
  <c r="N12" i="5"/>
  <c r="N4" i="5"/>
  <c r="M4" i="5"/>
  <c r="E5" i="5"/>
  <c r="E6" i="5"/>
  <c r="E7" i="5"/>
  <c r="E8" i="5"/>
  <c r="E9" i="5"/>
  <c r="E10" i="5"/>
  <c r="E4" i="5"/>
  <c r="D5" i="5"/>
  <c r="D6" i="5"/>
  <c r="D7" i="5"/>
  <c r="D8" i="5"/>
  <c r="D9" i="5"/>
  <c r="D10" i="5"/>
  <c r="D4" i="5"/>
  <c r="F5" i="5"/>
  <c r="G5" i="5"/>
  <c r="H5" i="5"/>
  <c r="I5" i="5"/>
  <c r="J5" i="5"/>
  <c r="K5" i="5"/>
  <c r="L5" i="5"/>
  <c r="F6" i="5"/>
  <c r="G6" i="5"/>
  <c r="H6" i="5"/>
  <c r="I6" i="5"/>
  <c r="J6" i="5"/>
  <c r="K6" i="5"/>
  <c r="L6" i="5"/>
  <c r="F7" i="5"/>
  <c r="G7" i="5"/>
  <c r="H7" i="5"/>
  <c r="I7" i="5"/>
  <c r="J7" i="5"/>
  <c r="K7" i="5"/>
  <c r="L7" i="5"/>
  <c r="F8" i="5"/>
  <c r="G8" i="5"/>
  <c r="H8" i="5"/>
  <c r="I8" i="5"/>
  <c r="J8" i="5"/>
  <c r="K8" i="5"/>
  <c r="L8" i="5"/>
  <c r="F9" i="5"/>
  <c r="G9" i="5"/>
  <c r="H9" i="5"/>
  <c r="I9" i="5"/>
  <c r="J9" i="5"/>
  <c r="K9" i="5"/>
  <c r="L9" i="5"/>
  <c r="F10" i="5"/>
  <c r="G10" i="5"/>
  <c r="H10" i="5"/>
  <c r="I10" i="5"/>
  <c r="J10" i="5"/>
  <c r="K10" i="5"/>
  <c r="L10" i="5"/>
  <c r="E11" i="5"/>
  <c r="F11" i="5"/>
  <c r="G11" i="5"/>
  <c r="H11" i="5"/>
  <c r="I11" i="5"/>
  <c r="J11" i="5"/>
  <c r="K11" i="5"/>
  <c r="L11" i="5"/>
  <c r="E12" i="5"/>
  <c r="F12" i="5"/>
  <c r="G12" i="5"/>
  <c r="H12" i="5"/>
  <c r="I12" i="5"/>
  <c r="J12" i="5"/>
  <c r="K12" i="5"/>
  <c r="L12" i="5"/>
  <c r="L4" i="5"/>
  <c r="K4" i="5"/>
  <c r="J4" i="5"/>
  <c r="I4" i="5"/>
  <c r="H4" i="5"/>
  <c r="G4" i="5"/>
  <c r="F4" i="5"/>
  <c r="C11" i="5"/>
  <c r="D11" i="5" s="1"/>
  <c r="C12" i="5"/>
  <c r="D12" i="5" s="1"/>
  <c r="C12" i="3"/>
  <c r="D12" i="3"/>
  <c r="D13" i="3" s="1"/>
  <c r="E12" i="3"/>
  <c r="F12" i="3"/>
  <c r="F13" i="3" s="1"/>
  <c r="G12" i="3"/>
  <c r="H12" i="3"/>
  <c r="H13" i="3" s="1"/>
  <c r="I12" i="3"/>
  <c r="J12" i="3"/>
  <c r="K12" i="3"/>
  <c r="L12" i="3"/>
  <c r="L13" i="3" s="1"/>
  <c r="M12" i="3"/>
  <c r="N12" i="3"/>
  <c r="N13" i="3" s="1"/>
  <c r="O12" i="3"/>
  <c r="P12" i="3"/>
  <c r="P13" i="3" s="1"/>
  <c r="Q12" i="3"/>
  <c r="R12" i="3"/>
  <c r="S12" i="3"/>
  <c r="T12" i="3"/>
  <c r="T13" i="3" s="1"/>
  <c r="U12" i="3"/>
  <c r="V12" i="3"/>
  <c r="V13" i="3" s="1"/>
  <c r="W12" i="3"/>
  <c r="X12" i="3"/>
  <c r="X13" i="3" s="1"/>
  <c r="Y12" i="3"/>
  <c r="Z12" i="3"/>
  <c r="AA12" i="3"/>
  <c r="AB12" i="3"/>
  <c r="AB13" i="3" s="1"/>
  <c r="AC12" i="3"/>
  <c r="C21" i="3"/>
  <c r="D21" i="3"/>
  <c r="E21" i="3"/>
  <c r="F3" i="8" s="1"/>
  <c r="F4" i="8" s="1"/>
  <c r="F21" i="3"/>
  <c r="G21" i="3"/>
  <c r="G22" i="3" s="1"/>
  <c r="H21" i="3"/>
  <c r="I21" i="3"/>
  <c r="I22" i="3" s="1"/>
  <c r="J21" i="3"/>
  <c r="K21" i="3"/>
  <c r="L21" i="3"/>
  <c r="M21" i="3"/>
  <c r="M22" i="3" s="1"/>
  <c r="N21" i="3"/>
  <c r="O21" i="3"/>
  <c r="O22" i="3" s="1"/>
  <c r="P21" i="3"/>
  <c r="Q21" i="3"/>
  <c r="Q22" i="3" s="1"/>
  <c r="R21" i="3"/>
  <c r="S21" i="3"/>
  <c r="T21" i="3"/>
  <c r="U21" i="3"/>
  <c r="U22" i="3" s="1"/>
  <c r="V21" i="3"/>
  <c r="W21" i="3"/>
  <c r="W22" i="3" s="1"/>
  <c r="X21" i="3"/>
  <c r="Y21" i="3"/>
  <c r="Y22" i="3" s="1"/>
  <c r="Z21" i="3"/>
  <c r="AA21" i="3"/>
  <c r="AB21" i="3"/>
  <c r="AC21" i="3"/>
  <c r="AC22" i="3" s="1"/>
  <c r="AD21" i="3"/>
  <c r="AE21" i="3"/>
  <c r="AE22" i="3" s="1"/>
  <c r="AF21" i="3"/>
  <c r="C30" i="3"/>
  <c r="D3" i="9" s="1"/>
  <c r="D4" i="9" s="1"/>
  <c r="D30" i="3"/>
  <c r="E30" i="3"/>
  <c r="F30" i="3"/>
  <c r="G30" i="3"/>
  <c r="H30" i="3"/>
  <c r="I30" i="3"/>
  <c r="J30" i="3"/>
  <c r="K30" i="3"/>
  <c r="L30" i="3"/>
  <c r="M30" i="3"/>
  <c r="N30" i="3"/>
  <c r="O30" i="3"/>
  <c r="O31" i="3" s="1"/>
  <c r="P30" i="3"/>
  <c r="Q30" i="3"/>
  <c r="R30" i="3"/>
  <c r="S30" i="3"/>
  <c r="S31" i="3" s="1"/>
  <c r="T30" i="3"/>
  <c r="U30" i="3"/>
  <c r="V30" i="3"/>
  <c r="W30" i="3"/>
  <c r="X30" i="3"/>
  <c r="Y30" i="3"/>
  <c r="Z30" i="3"/>
  <c r="AA30" i="3"/>
  <c r="AA31" i="3" s="1"/>
  <c r="AB30" i="3"/>
  <c r="AC30" i="3"/>
  <c r="AC31" i="3" s="1"/>
  <c r="AD30" i="3"/>
  <c r="AE30" i="3"/>
  <c r="C39" i="3"/>
  <c r="D39" i="3"/>
  <c r="E39" i="3"/>
  <c r="F3" i="10" s="1"/>
  <c r="F39" i="3"/>
  <c r="G3" i="10" s="1"/>
  <c r="G39" i="3"/>
  <c r="H39" i="3"/>
  <c r="I39" i="3"/>
  <c r="J39" i="3"/>
  <c r="K39" i="3"/>
  <c r="L39" i="3"/>
  <c r="M39" i="3"/>
  <c r="N39" i="3"/>
  <c r="O39" i="3"/>
  <c r="P39" i="3"/>
  <c r="Q39" i="3"/>
  <c r="R39" i="3"/>
  <c r="R40" i="3" s="1"/>
  <c r="S39" i="3"/>
  <c r="T39" i="3"/>
  <c r="U39" i="3"/>
  <c r="V39" i="3"/>
  <c r="V40" i="3" s="1"/>
  <c r="W39" i="3"/>
  <c r="X39" i="3"/>
  <c r="Y39" i="3"/>
  <c r="Z39" i="3"/>
  <c r="AA39" i="3"/>
  <c r="AB39" i="3"/>
  <c r="AC39" i="3"/>
  <c r="AD39" i="3"/>
  <c r="AE39" i="3"/>
  <c r="AF39" i="3"/>
  <c r="C48" i="3"/>
  <c r="C49" i="3" s="1"/>
  <c r="D48" i="3"/>
  <c r="E3" i="11" s="1"/>
  <c r="E16" i="11" s="1"/>
  <c r="E48" i="3"/>
  <c r="F3" i="11" s="1"/>
  <c r="F16" i="11" s="1"/>
  <c r="F48" i="3"/>
  <c r="G3" i="11" s="1"/>
  <c r="G16" i="11" s="1"/>
  <c r="G48" i="3"/>
  <c r="G49" i="3" s="1"/>
  <c r="H48" i="3"/>
  <c r="I3" i="11" s="1"/>
  <c r="I16" i="11" s="1"/>
  <c r="I48" i="3"/>
  <c r="J3" i="11" s="1"/>
  <c r="J16" i="11" s="1"/>
  <c r="J48" i="3"/>
  <c r="K3" i="11" s="1"/>
  <c r="K16" i="11" s="1"/>
  <c r="K48" i="3"/>
  <c r="L3" i="11" s="1"/>
  <c r="L16" i="11" s="1"/>
  <c r="L48" i="3"/>
  <c r="M3" i="11" s="1"/>
  <c r="M16" i="11" s="1"/>
  <c r="M48" i="3"/>
  <c r="N3" i="11" s="1"/>
  <c r="N16" i="11" s="1"/>
  <c r="N48" i="3"/>
  <c r="O3" i="11" s="1"/>
  <c r="O16" i="11" s="1"/>
  <c r="O48" i="3"/>
  <c r="P3" i="11" s="1"/>
  <c r="P16" i="11" s="1"/>
  <c r="P48" i="3"/>
  <c r="Q3" i="11" s="1"/>
  <c r="Q16" i="11" s="1"/>
  <c r="Q48" i="3"/>
  <c r="R3" i="11" s="1"/>
  <c r="R16" i="11" s="1"/>
  <c r="R48" i="3"/>
  <c r="S3" i="11" s="1"/>
  <c r="S16" i="11" s="1"/>
  <c r="S48" i="3"/>
  <c r="S49" i="3" s="1"/>
  <c r="T48" i="3"/>
  <c r="U3" i="11" s="1"/>
  <c r="U16" i="11" s="1"/>
  <c r="U48" i="3"/>
  <c r="V3" i="11" s="1"/>
  <c r="V16" i="11" s="1"/>
  <c r="V48" i="3"/>
  <c r="W3" i="11" s="1"/>
  <c r="W16" i="11" s="1"/>
  <c r="W48" i="3"/>
  <c r="W49" i="3" s="1"/>
  <c r="X48" i="3"/>
  <c r="Y3" i="11" s="1"/>
  <c r="Y16" i="11" s="1"/>
  <c r="Y48" i="3"/>
  <c r="Z3" i="11" s="1"/>
  <c r="Z16" i="11" s="1"/>
  <c r="Z48" i="3"/>
  <c r="AA3" i="11" s="1"/>
  <c r="AA16" i="11" s="1"/>
  <c r="AA48" i="3"/>
  <c r="AB3" i="11" s="1"/>
  <c r="AB16" i="11" s="1"/>
  <c r="AB48" i="3"/>
  <c r="AC3" i="11" s="1"/>
  <c r="AC16" i="11" s="1"/>
  <c r="AC48" i="3"/>
  <c r="AD3" i="11" s="1"/>
  <c r="AD16" i="11" s="1"/>
  <c r="AD48" i="3"/>
  <c r="AE3" i="11" s="1"/>
  <c r="AE16" i="11" s="1"/>
  <c r="AE48" i="3"/>
  <c r="AF3" i="11" s="1"/>
  <c r="AF16" i="11" s="1"/>
  <c r="C57" i="3"/>
  <c r="D57" i="3"/>
  <c r="E3" i="12" s="1"/>
  <c r="E16" i="12" s="1"/>
  <c r="E57" i="3"/>
  <c r="E58" i="3" s="1"/>
  <c r="F57" i="3"/>
  <c r="G3" i="12" s="1"/>
  <c r="G16" i="12" s="1"/>
  <c r="G57" i="3"/>
  <c r="H3" i="12" s="1"/>
  <c r="H16" i="12" s="1"/>
  <c r="H57" i="3"/>
  <c r="I3" i="12" s="1"/>
  <c r="I16" i="12" s="1"/>
  <c r="I57" i="3"/>
  <c r="I58" i="3" s="1"/>
  <c r="J57" i="3"/>
  <c r="K3" i="12" s="1"/>
  <c r="K16" i="12" s="1"/>
  <c r="K57" i="3"/>
  <c r="L3" i="12" s="1"/>
  <c r="L16" i="12" s="1"/>
  <c r="L57" i="3"/>
  <c r="M3" i="12" s="1"/>
  <c r="M16" i="12" s="1"/>
  <c r="M57" i="3"/>
  <c r="N3" i="12" s="1"/>
  <c r="N16" i="12" s="1"/>
  <c r="N57" i="3"/>
  <c r="O3" i="12" s="1"/>
  <c r="O16" i="12" s="1"/>
  <c r="O57" i="3"/>
  <c r="P3" i="12" s="1"/>
  <c r="P16" i="12" s="1"/>
  <c r="P57" i="3"/>
  <c r="Q3" i="12" s="1"/>
  <c r="Q16" i="12" s="1"/>
  <c r="Q57" i="3"/>
  <c r="R3" i="12" s="1"/>
  <c r="R16" i="12" s="1"/>
  <c r="R57" i="3"/>
  <c r="S3" i="12" s="1"/>
  <c r="S16" i="12" s="1"/>
  <c r="S57" i="3"/>
  <c r="T3" i="12" s="1"/>
  <c r="T16" i="12" s="1"/>
  <c r="T57" i="3"/>
  <c r="U3" i="12" s="1"/>
  <c r="U16" i="12" s="1"/>
  <c r="U57" i="3"/>
  <c r="U58" i="3" s="1"/>
  <c r="V57" i="3"/>
  <c r="W3" i="12" s="1"/>
  <c r="W16" i="12" s="1"/>
  <c r="W57" i="3"/>
  <c r="X3" i="12" s="1"/>
  <c r="X16" i="12" s="1"/>
  <c r="X57" i="3"/>
  <c r="Y3" i="12" s="1"/>
  <c r="Y16" i="12" s="1"/>
  <c r="Y57" i="3"/>
  <c r="Y58" i="3" s="1"/>
  <c r="Z57" i="3"/>
  <c r="AA3" i="12" s="1"/>
  <c r="AA16" i="12" s="1"/>
  <c r="AA57" i="3"/>
  <c r="AB3" i="12" s="1"/>
  <c r="AB16" i="12" s="1"/>
  <c r="AB57" i="3"/>
  <c r="AC3" i="12" s="1"/>
  <c r="AC16" i="12" s="1"/>
  <c r="AC57" i="3"/>
  <c r="AD3" i="12" s="1"/>
  <c r="AD16" i="12" s="1"/>
  <c r="AD57" i="3"/>
  <c r="AE3" i="12" s="1"/>
  <c r="AE16" i="12" s="1"/>
  <c r="AE57" i="3"/>
  <c r="AF3" i="12" s="1"/>
  <c r="AF16" i="12" s="1"/>
  <c r="AF57" i="3"/>
  <c r="AG3" i="12" s="1"/>
  <c r="AG16" i="12" s="1"/>
  <c r="C66" i="3"/>
  <c r="C67" i="3" s="1"/>
  <c r="D66" i="3"/>
  <c r="E66" i="3"/>
  <c r="F3" i="13" s="1"/>
  <c r="F16" i="13" s="1"/>
  <c r="F66" i="3"/>
  <c r="F67" i="3" s="1"/>
  <c r="G66" i="3"/>
  <c r="G67" i="3" s="1"/>
  <c r="H66" i="3"/>
  <c r="H67" i="3" s="1"/>
  <c r="I66" i="3"/>
  <c r="I67" i="3" s="1"/>
  <c r="J66" i="3"/>
  <c r="J67" i="3" s="1"/>
  <c r="K66" i="3"/>
  <c r="K67" i="3" s="1"/>
  <c r="L66" i="3"/>
  <c r="L67" i="3" s="1"/>
  <c r="M66" i="3"/>
  <c r="M67" i="3" s="1"/>
  <c r="N66" i="3"/>
  <c r="N67" i="3" s="1"/>
  <c r="O66" i="3"/>
  <c r="O67" i="3" s="1"/>
  <c r="P66" i="3"/>
  <c r="Q66" i="3"/>
  <c r="Q67" i="3" s="1"/>
  <c r="R66" i="3"/>
  <c r="R67" i="3" s="1"/>
  <c r="S66" i="3"/>
  <c r="S67" i="3" s="1"/>
  <c r="T66" i="3"/>
  <c r="T67" i="3" s="1"/>
  <c r="U66" i="3"/>
  <c r="U67" i="3" s="1"/>
  <c r="V66" i="3"/>
  <c r="V67" i="3" s="1"/>
  <c r="W66" i="3"/>
  <c r="W67" i="3" s="1"/>
  <c r="X66" i="3"/>
  <c r="X67" i="3" s="1"/>
  <c r="Y66" i="3"/>
  <c r="Y67" i="3" s="1"/>
  <c r="Z66" i="3"/>
  <c r="Z67" i="3" s="1"/>
  <c r="AA66" i="3"/>
  <c r="AA67" i="3" s="1"/>
  <c r="AB66" i="3"/>
  <c r="AC66" i="3"/>
  <c r="AC67" i="3" s="1"/>
  <c r="AD66" i="3"/>
  <c r="AD67" i="3" s="1"/>
  <c r="AE66" i="3"/>
  <c r="AE67" i="3" s="1"/>
  <c r="AF66" i="3"/>
  <c r="AF67" i="3" s="1"/>
  <c r="C75" i="3"/>
  <c r="D3" i="14" s="1"/>
  <c r="D16" i="14" s="1"/>
  <c r="D75" i="3"/>
  <c r="D76" i="3" s="1"/>
  <c r="E75" i="3"/>
  <c r="E76" i="3" s="1"/>
  <c r="F75" i="3"/>
  <c r="F76" i="3" s="1"/>
  <c r="G75" i="3"/>
  <c r="G76" i="3" s="1"/>
  <c r="H75" i="3"/>
  <c r="H76" i="3" s="1"/>
  <c r="I75" i="3"/>
  <c r="J75" i="3"/>
  <c r="J76" i="3" s="1"/>
  <c r="K75" i="3"/>
  <c r="K76" i="3" s="1"/>
  <c r="L75" i="3"/>
  <c r="L76" i="3" s="1"/>
  <c r="M75" i="3"/>
  <c r="M76" i="3" s="1"/>
  <c r="N75" i="3"/>
  <c r="N76" i="3" s="1"/>
  <c r="O75" i="3"/>
  <c r="O76" i="3" s="1"/>
  <c r="P75" i="3"/>
  <c r="P76" i="3" s="1"/>
  <c r="Q75" i="3"/>
  <c r="Q76" i="3" s="1"/>
  <c r="R75" i="3"/>
  <c r="R76" i="3" s="1"/>
  <c r="S75" i="3"/>
  <c r="S76" i="3" s="1"/>
  <c r="T75" i="3"/>
  <c r="T76" i="3" s="1"/>
  <c r="U75" i="3"/>
  <c r="V75" i="3"/>
  <c r="V76" i="3" s="1"/>
  <c r="W75" i="3"/>
  <c r="W76" i="3" s="1"/>
  <c r="X75" i="3"/>
  <c r="X76" i="3" s="1"/>
  <c r="Y75" i="3"/>
  <c r="Y76" i="3" s="1"/>
  <c r="Z75" i="3"/>
  <c r="Z76" i="3" s="1"/>
  <c r="AA75" i="3"/>
  <c r="AA76" i="3" s="1"/>
  <c r="AB75" i="3"/>
  <c r="AB76" i="3" s="1"/>
  <c r="AC75" i="3"/>
  <c r="AC76" i="3" s="1"/>
  <c r="AD75" i="3"/>
  <c r="AD76" i="3" s="1"/>
  <c r="AE75" i="3"/>
  <c r="AE76" i="3" s="1"/>
  <c r="C84" i="3"/>
  <c r="D84" i="3"/>
  <c r="D85" i="3" s="1"/>
  <c r="E84" i="3"/>
  <c r="E85" i="3" s="1"/>
  <c r="F84" i="3"/>
  <c r="F85" i="3" s="1"/>
  <c r="G84" i="3"/>
  <c r="G85" i="3" s="1"/>
  <c r="H84" i="3"/>
  <c r="H85" i="3" s="1"/>
  <c r="I84" i="3"/>
  <c r="I85" i="3" s="1"/>
  <c r="J84" i="3"/>
  <c r="J85" i="3" s="1"/>
  <c r="K84" i="3"/>
  <c r="K85" i="3" s="1"/>
  <c r="L84" i="3"/>
  <c r="L85" i="3" s="1"/>
  <c r="M84" i="3"/>
  <c r="M85" i="3" s="1"/>
  <c r="N84" i="3"/>
  <c r="N85" i="3" s="1"/>
  <c r="O84" i="3"/>
  <c r="P84" i="3"/>
  <c r="P85" i="3" s="1"/>
  <c r="Q84" i="3"/>
  <c r="Q85" i="3" s="1"/>
  <c r="R84" i="3"/>
  <c r="R85" i="3" s="1"/>
  <c r="S84" i="3"/>
  <c r="S85" i="3" s="1"/>
  <c r="T84" i="3"/>
  <c r="T85" i="3" s="1"/>
  <c r="U84" i="3"/>
  <c r="U85" i="3" s="1"/>
  <c r="V84" i="3"/>
  <c r="V85" i="3" s="1"/>
  <c r="W84" i="3"/>
  <c r="W85" i="3" s="1"/>
  <c r="X84" i="3"/>
  <c r="X85" i="3" s="1"/>
  <c r="Y84" i="3"/>
  <c r="Y85" i="3" s="1"/>
  <c r="Z84" i="3"/>
  <c r="Z85" i="3" s="1"/>
  <c r="AA84" i="3"/>
  <c r="AB84" i="3"/>
  <c r="AB85" i="3" s="1"/>
  <c r="AC84" i="3"/>
  <c r="AC85" i="3" s="1"/>
  <c r="AD84" i="3"/>
  <c r="AD85" i="3" s="1"/>
  <c r="AE84" i="3"/>
  <c r="AE85" i="3" s="1"/>
  <c r="AF84" i="3"/>
  <c r="AF85" i="3" s="1"/>
  <c r="C93" i="3"/>
  <c r="C94" i="3" s="1"/>
  <c r="D93" i="3"/>
  <c r="E3" i="16" s="1"/>
  <c r="E16" i="16" s="1"/>
  <c r="E93" i="3"/>
  <c r="E94" i="3" s="1"/>
  <c r="F93" i="3"/>
  <c r="F94" i="3" s="1"/>
  <c r="G93" i="3"/>
  <c r="G94" i="3" s="1"/>
  <c r="H93" i="3"/>
  <c r="I93" i="3"/>
  <c r="I94" i="3" s="1"/>
  <c r="J93" i="3"/>
  <c r="J94" i="3" s="1"/>
  <c r="K93" i="3"/>
  <c r="K94" i="3" s="1"/>
  <c r="L93" i="3"/>
  <c r="L94" i="3" s="1"/>
  <c r="M93" i="3"/>
  <c r="M94" i="3" s="1"/>
  <c r="N93" i="3"/>
  <c r="N94" i="3" s="1"/>
  <c r="O93" i="3"/>
  <c r="O94" i="3" s="1"/>
  <c r="P93" i="3"/>
  <c r="P94" i="3" s="1"/>
  <c r="Q93" i="3"/>
  <c r="Q94" i="3" s="1"/>
  <c r="R93" i="3"/>
  <c r="R94" i="3" s="1"/>
  <c r="S93" i="3"/>
  <c r="S94" i="3" s="1"/>
  <c r="T93" i="3"/>
  <c r="U93" i="3"/>
  <c r="U94" i="3" s="1"/>
  <c r="V93" i="3"/>
  <c r="V94" i="3" s="1"/>
  <c r="W93" i="3"/>
  <c r="W94" i="3" s="1"/>
  <c r="X93" i="3"/>
  <c r="X94" i="3" s="1"/>
  <c r="Y93" i="3"/>
  <c r="Y94" i="3" s="1"/>
  <c r="Z93" i="3"/>
  <c r="Z94" i="3" s="1"/>
  <c r="AA93" i="3"/>
  <c r="AA94" i="3" s="1"/>
  <c r="AB93" i="3"/>
  <c r="AB94" i="3" s="1"/>
  <c r="AC93" i="3"/>
  <c r="AC94" i="3" s="1"/>
  <c r="AD93" i="3"/>
  <c r="AD94" i="3" s="1"/>
  <c r="AE93" i="3"/>
  <c r="AE94" i="3" s="1"/>
  <c r="C102" i="3"/>
  <c r="D3" i="17" s="1"/>
  <c r="D16" i="17" s="1"/>
  <c r="D102" i="3"/>
  <c r="D103" i="3" s="1"/>
  <c r="E102" i="3"/>
  <c r="E103" i="3" s="1"/>
  <c r="F102" i="3"/>
  <c r="F103" i="3" s="1"/>
  <c r="G102" i="3"/>
  <c r="G103" i="3" s="1"/>
  <c r="H102" i="3"/>
  <c r="H103" i="3" s="1"/>
  <c r="I102" i="3"/>
  <c r="I103" i="3" s="1"/>
  <c r="J102" i="3"/>
  <c r="J103" i="3" s="1"/>
  <c r="K102" i="3"/>
  <c r="K103" i="3" s="1"/>
  <c r="L102" i="3"/>
  <c r="L103" i="3" s="1"/>
  <c r="M102" i="3"/>
  <c r="M103" i="3" s="1"/>
  <c r="N102" i="3"/>
  <c r="O102" i="3"/>
  <c r="O103" i="3" s="1"/>
  <c r="P102" i="3"/>
  <c r="P103" i="3" s="1"/>
  <c r="Q102" i="3"/>
  <c r="Q103" i="3" s="1"/>
  <c r="R102" i="3"/>
  <c r="R103" i="3" s="1"/>
  <c r="S102" i="3"/>
  <c r="S103" i="3" s="1"/>
  <c r="T102" i="3"/>
  <c r="T103" i="3" s="1"/>
  <c r="U102" i="3"/>
  <c r="U103" i="3" s="1"/>
  <c r="V102" i="3"/>
  <c r="V103" i="3" s="1"/>
  <c r="W102" i="3"/>
  <c r="W103" i="3" s="1"/>
  <c r="X102" i="3"/>
  <c r="X103" i="3" s="1"/>
  <c r="Y102" i="3"/>
  <c r="Y103" i="3" s="1"/>
  <c r="Z102" i="3"/>
  <c r="AA102" i="3"/>
  <c r="AA103" i="3" s="1"/>
  <c r="AB102" i="3"/>
  <c r="AB103" i="3" s="1"/>
  <c r="AC102" i="3"/>
  <c r="AC103" i="3" s="1"/>
  <c r="AD102" i="3"/>
  <c r="AD103" i="3" s="1"/>
  <c r="AE102" i="3"/>
  <c r="AE103" i="3" s="1"/>
  <c r="AF102" i="3"/>
  <c r="AF103" i="3" s="1"/>
  <c r="B102" i="3"/>
  <c r="C3" i="17" s="1"/>
  <c r="C16" i="17" s="1"/>
  <c r="B93" i="3"/>
  <c r="C3" i="16" s="1"/>
  <c r="C16" i="16" s="1"/>
  <c r="B84" i="3"/>
  <c r="B85" i="3" s="1"/>
  <c r="B75" i="3"/>
  <c r="C3" i="14" s="1"/>
  <c r="C16" i="14" s="1"/>
  <c r="B66" i="3"/>
  <c r="C3" i="13" s="1"/>
  <c r="C16" i="13" s="1"/>
  <c r="B57" i="3"/>
  <c r="C3" i="12" s="1"/>
  <c r="C16" i="12" s="1"/>
  <c r="B48" i="3"/>
  <c r="C3" i="11" s="1"/>
  <c r="C16" i="11" s="1"/>
  <c r="B39" i="3"/>
  <c r="C3" i="10" s="1"/>
  <c r="C4" i="10" s="1"/>
  <c r="B30" i="3"/>
  <c r="B21" i="3"/>
  <c r="B12" i="3"/>
  <c r="B13" i="3" s="1"/>
  <c r="E3" i="3"/>
  <c r="F3" i="3"/>
  <c r="G3" i="3"/>
  <c r="G4" i="3" s="1"/>
  <c r="H3" i="3"/>
  <c r="I3" i="3"/>
  <c r="I4" i="3" s="1"/>
  <c r="J3" i="3"/>
  <c r="K3" i="3"/>
  <c r="L3" i="3"/>
  <c r="M3" i="3"/>
  <c r="N3" i="3"/>
  <c r="O3" i="3"/>
  <c r="O4" i="3" s="1"/>
  <c r="P3" i="3"/>
  <c r="Q3" i="3"/>
  <c r="Q4" i="3" s="1"/>
  <c r="R3" i="3"/>
  <c r="S3" i="3"/>
  <c r="T3" i="3"/>
  <c r="U3" i="3"/>
  <c r="V3" i="3"/>
  <c r="W3" i="3"/>
  <c r="W4" i="3" s="1"/>
  <c r="X3" i="3"/>
  <c r="Y3" i="3"/>
  <c r="Y4" i="3" s="1"/>
  <c r="Z3" i="3"/>
  <c r="AA3" i="3"/>
  <c r="AB3" i="3"/>
  <c r="AC3" i="3"/>
  <c r="AD3" i="3"/>
  <c r="AE3" i="3"/>
  <c r="AE4" i="3" s="1"/>
  <c r="AF3" i="3"/>
  <c r="B3" i="3"/>
  <c r="C3" i="6" s="1"/>
  <c r="C16" i="6" s="1"/>
  <c r="AD31" i="9" l="1"/>
  <c r="L24" i="9"/>
  <c r="R28" i="9"/>
  <c r="Z28" i="9"/>
  <c r="G26" i="9"/>
  <c r="AA28" i="9"/>
  <c r="Y31" i="9"/>
  <c r="AB28" i="9"/>
  <c r="G25" i="9"/>
  <c r="T27" i="9"/>
  <c r="G18" i="9"/>
  <c r="O23" i="9"/>
  <c r="V27" i="9"/>
  <c r="N18" i="9"/>
  <c r="AA21" i="9"/>
  <c r="U28" i="9"/>
  <c r="J27" i="9"/>
  <c r="AE31" i="9"/>
  <c r="O28" i="9"/>
  <c r="N28" i="9"/>
  <c r="U21" i="9"/>
  <c r="Y28" i="9"/>
  <c r="M31" i="9"/>
  <c r="X20" i="9"/>
  <c r="U23" i="9"/>
  <c r="N21" i="9"/>
  <c r="V28" i="9"/>
  <c r="C31" i="9"/>
  <c r="W27" i="9"/>
  <c r="O27" i="9"/>
  <c r="L28" i="9"/>
  <c r="Q31" i="9"/>
  <c r="G22" i="9"/>
  <c r="G31" i="9"/>
  <c r="X27" i="9"/>
  <c r="L20" i="9"/>
  <c r="M25" i="9"/>
  <c r="AB21" i="9"/>
  <c r="AC27" i="9"/>
  <c r="AE27" i="9"/>
  <c r="L27" i="9"/>
  <c r="AA23" i="9"/>
  <c r="M28" i="9"/>
  <c r="T31" i="9"/>
  <c r="D31" i="9"/>
  <c r="AE20" i="9"/>
  <c r="L21" i="9"/>
  <c r="AC20" i="9"/>
  <c r="AB20" i="9"/>
  <c r="AE28" i="9"/>
  <c r="U22" i="9"/>
  <c r="D27" i="9"/>
  <c r="Z20" i="9"/>
  <c r="X28" i="9"/>
  <c r="G23" i="9"/>
  <c r="AA27" i="9"/>
  <c r="S20" i="9"/>
  <c r="Y20" i="9"/>
  <c r="N26" i="9"/>
  <c r="G19" i="9"/>
  <c r="X25" i="9"/>
  <c r="C28" i="9"/>
  <c r="X19" i="9"/>
  <c r="Q20" i="9"/>
  <c r="P20" i="9"/>
  <c r="O20" i="9"/>
  <c r="G21" i="9"/>
  <c r="N25" i="9"/>
  <c r="S31" i="9"/>
  <c r="Z27" i="9"/>
  <c r="AF31" i="9"/>
  <c r="U20" i="9"/>
  <c r="G20" i="9"/>
  <c r="R31" i="9"/>
  <c r="N23" i="9"/>
  <c r="D28" i="9"/>
  <c r="T19" i="9"/>
  <c r="AD27" i="9"/>
  <c r="G24" i="9"/>
  <c r="T24" i="9"/>
  <c r="D19" i="9"/>
  <c r="D20" i="9"/>
  <c r="AF27" i="9"/>
  <c r="W20" i="9"/>
  <c r="N22" i="9"/>
  <c r="AC28" i="9"/>
  <c r="N27" i="9"/>
  <c r="AA18" i="9"/>
  <c r="Z31" i="9"/>
  <c r="X31" i="9"/>
  <c r="T18" i="9"/>
  <c r="AD20" i="9"/>
  <c r="AE21" i="9"/>
  <c r="U26" i="9"/>
  <c r="AB27" i="9"/>
  <c r="N31" i="9"/>
  <c r="K25" i="9"/>
  <c r="V31" i="9"/>
  <c r="C19" i="9"/>
  <c r="N20" i="9"/>
  <c r="K20" i="9"/>
  <c r="V20" i="9"/>
  <c r="G27" i="9"/>
  <c r="AB26" i="9"/>
  <c r="N24" i="9"/>
  <c r="W28" i="9"/>
  <c r="L31" i="9"/>
  <c r="AB25" i="9"/>
  <c r="R20" i="9"/>
  <c r="M18" i="9"/>
  <c r="K27" i="9"/>
  <c r="AD28" i="9"/>
  <c r="O26" i="9"/>
  <c r="J31" i="9"/>
  <c r="U31" i="9"/>
  <c r="Q28" i="9"/>
  <c r="N19" i="9"/>
  <c r="J20" i="9"/>
  <c r="U19" i="9"/>
  <c r="AB23" i="9"/>
  <c r="AB19" i="9"/>
  <c r="G28" i="9"/>
  <c r="K28" i="9"/>
  <c r="AC31" i="9"/>
  <c r="W31" i="9"/>
  <c r="C20" i="9"/>
  <c r="U25" i="9"/>
  <c r="P27" i="9"/>
  <c r="Q23" i="9"/>
  <c r="V26" i="9"/>
  <c r="X18" i="9"/>
  <c r="AF28" i="9"/>
  <c r="AB18" i="9"/>
  <c r="M20" i="9"/>
  <c r="AB31" i="9"/>
  <c r="AA31" i="9"/>
  <c r="R27" i="9"/>
  <c r="AF20" i="9"/>
  <c r="U18" i="9"/>
  <c r="Y27" i="9"/>
  <c r="S28" i="9"/>
  <c r="Q27" i="9"/>
  <c r="K31" i="9"/>
  <c r="Q19" i="9"/>
  <c r="C18" i="9"/>
  <c r="S23" i="9"/>
  <c r="T28" i="9"/>
  <c r="U27" i="9"/>
  <c r="P28" i="9"/>
  <c r="P31" i="9"/>
  <c r="O31" i="9"/>
  <c r="AB22" i="9"/>
  <c r="T20" i="9"/>
  <c r="S27" i="9"/>
  <c r="M27" i="9"/>
  <c r="U24" i="9"/>
  <c r="C27" i="9"/>
  <c r="Z24" i="9"/>
  <c r="AD26" i="9"/>
  <c r="P22" i="9"/>
  <c r="O25" i="9"/>
  <c r="R22" i="9"/>
  <c r="AD18" i="9"/>
  <c r="T25" i="9"/>
  <c r="S26" i="9"/>
  <c r="Z21" i="9"/>
  <c r="AD25" i="9"/>
  <c r="V24" i="9"/>
  <c r="AE24" i="9"/>
  <c r="W23" i="9"/>
  <c r="Z25" i="9"/>
  <c r="D23" i="9"/>
  <c r="Y23" i="9"/>
  <c r="P26" i="9"/>
  <c r="Z26" i="9"/>
  <c r="T26" i="9"/>
  <c r="M19" i="9"/>
  <c r="S18" i="9"/>
  <c r="W24" i="9"/>
  <c r="Y18" i="9"/>
  <c r="Q18" i="9"/>
  <c r="W25" i="9"/>
  <c r="V19" i="9"/>
  <c r="D24" i="9"/>
  <c r="C22" i="9"/>
  <c r="M24" i="9"/>
  <c r="X26" i="9"/>
  <c r="AD19" i="9"/>
  <c r="AC25" i="9"/>
  <c r="AF21" i="9"/>
  <c r="T22" i="9"/>
  <c r="C25" i="9"/>
  <c r="Y25" i="9"/>
  <c r="AC18" i="9"/>
  <c r="X21" i="9"/>
  <c r="R18" i="9"/>
  <c r="J19" i="9"/>
  <c r="J23" i="9"/>
  <c r="AF26" i="9"/>
  <c r="AE23" i="9"/>
  <c r="L26" i="9"/>
  <c r="R19" i="9"/>
  <c r="Q25" i="9"/>
  <c r="AF24" i="9"/>
  <c r="Z18" i="9"/>
  <c r="AF25" i="9"/>
  <c r="Y22" i="9"/>
  <c r="R25" i="9"/>
  <c r="Z19" i="9"/>
  <c r="K24" i="9"/>
  <c r="P23" i="9"/>
  <c r="Z22" i="9"/>
  <c r="C23" i="9"/>
  <c r="S24" i="9"/>
  <c r="R26" i="9"/>
  <c r="L19" i="9"/>
  <c r="Q22" i="9"/>
  <c r="AC26" i="9"/>
  <c r="AA26" i="9"/>
  <c r="T21" i="9"/>
  <c r="M22" i="9"/>
  <c r="X24" i="9"/>
  <c r="D18" i="9"/>
  <c r="AC23" i="9"/>
  <c r="J26" i="9"/>
  <c r="O21" i="9"/>
  <c r="M23" i="9"/>
  <c r="L25" i="9"/>
  <c r="Q26" i="9"/>
  <c r="V25" i="9"/>
  <c r="AC24" i="9"/>
  <c r="C26" i="9"/>
  <c r="L18" i="9"/>
  <c r="S21" i="9"/>
  <c r="AD23" i="9"/>
  <c r="T23" i="9"/>
  <c r="W22" i="9"/>
  <c r="J22" i="9"/>
  <c r="P25" i="9"/>
  <c r="C21" i="9"/>
  <c r="AE22" i="9"/>
  <c r="AD24" i="9"/>
  <c r="Q24" i="9"/>
  <c r="P24" i="9"/>
  <c r="K23" i="9"/>
  <c r="AA24" i="9"/>
  <c r="Y26" i="9"/>
  <c r="AE19" i="9"/>
  <c r="R23" i="9"/>
  <c r="AF19" i="9"/>
  <c r="K22" i="9"/>
  <c r="P21" i="9"/>
  <c r="D25" i="9"/>
  <c r="AA19" i="9"/>
  <c r="S22" i="9"/>
  <c r="R24" i="9"/>
  <c r="AC22" i="9"/>
  <c r="V23" i="9"/>
  <c r="W21" i="9"/>
  <c r="O24" i="9"/>
  <c r="M26" i="9"/>
  <c r="S19" i="9"/>
  <c r="X22" i="9"/>
  <c r="V18" i="9"/>
  <c r="AC21" i="9"/>
  <c r="V22" i="9"/>
  <c r="D21" i="9"/>
  <c r="J24" i="9"/>
  <c r="O19" i="9"/>
  <c r="Y21" i="9"/>
  <c r="X23" i="9"/>
  <c r="K21" i="9"/>
  <c r="D22" i="9"/>
  <c r="O18" i="9"/>
  <c r="C24" i="9"/>
  <c r="AE25" i="9"/>
  <c r="AF23" i="9"/>
  <c r="L22" i="9"/>
  <c r="J18" i="9"/>
  <c r="Q21" i="9"/>
  <c r="Z23" i="9"/>
  <c r="P19" i="9"/>
  <c r="AF18" i="9"/>
  <c r="AF22" i="9"/>
  <c r="M21" i="9"/>
  <c r="L23" i="9"/>
  <c r="W19" i="9"/>
  <c r="V21" i="9"/>
  <c r="D26" i="9"/>
  <c r="AA22" i="9"/>
  <c r="S25" i="9"/>
  <c r="W18" i="9"/>
  <c r="AD21" i="9"/>
  <c r="W26" i="9"/>
  <c r="AC19" i="9"/>
  <c r="P18" i="9"/>
  <c r="AE18" i="9"/>
  <c r="AA25" i="9"/>
  <c r="AE26" i="9"/>
  <c r="Y19" i="9"/>
  <c r="AD22" i="9"/>
  <c r="K19" i="9"/>
  <c r="J21" i="9"/>
  <c r="J25" i="9"/>
  <c r="O22" i="9"/>
  <c r="Y24" i="9"/>
  <c r="K18" i="9"/>
  <c r="R21" i="9"/>
  <c r="K26" i="9"/>
  <c r="X13" i="12"/>
  <c r="I13" i="12"/>
  <c r="M13" i="12"/>
  <c r="L13" i="12"/>
  <c r="C13" i="11"/>
  <c r="D13" i="17"/>
  <c r="AF13" i="12"/>
  <c r="H13" i="12"/>
  <c r="W13" i="11"/>
  <c r="K13" i="11"/>
  <c r="G13" i="12"/>
  <c r="D13" i="14"/>
  <c r="O13" i="12"/>
  <c r="E13" i="16"/>
  <c r="AE13" i="11"/>
  <c r="S13" i="11"/>
  <c r="G13" i="11"/>
  <c r="AA13" i="11"/>
  <c r="O13" i="11"/>
  <c r="C17" i="17"/>
  <c r="C13" i="17"/>
  <c r="N17" i="12"/>
  <c r="N13" i="12"/>
  <c r="AD17" i="11"/>
  <c r="AD13" i="11"/>
  <c r="F13" i="11"/>
  <c r="AC17" i="11"/>
  <c r="AC13" i="11"/>
  <c r="Q13" i="11"/>
  <c r="Q17" i="11"/>
  <c r="E17" i="11"/>
  <c r="E13" i="11"/>
  <c r="AB17" i="11"/>
  <c r="AB13" i="11"/>
  <c r="N17" i="11"/>
  <c r="N13" i="11"/>
  <c r="W17" i="12"/>
  <c r="W13" i="12"/>
  <c r="T13" i="12"/>
  <c r="P13" i="11"/>
  <c r="P17" i="11"/>
  <c r="K13" i="12"/>
  <c r="Z13" i="11"/>
  <c r="C13" i="12"/>
  <c r="Y13" i="12"/>
  <c r="AG13" i="12"/>
  <c r="Y17" i="11"/>
  <c r="Y13" i="11"/>
  <c r="AE13" i="12"/>
  <c r="S13" i="12"/>
  <c r="L13" i="11"/>
  <c r="L17" i="11"/>
  <c r="C17" i="13"/>
  <c r="C13" i="13"/>
  <c r="AD17" i="12"/>
  <c r="AD13" i="12"/>
  <c r="R17" i="12"/>
  <c r="R13" i="12"/>
  <c r="AC13" i="12"/>
  <c r="E13" i="12"/>
  <c r="J13" i="11"/>
  <c r="AB17" i="12"/>
  <c r="AB13" i="12"/>
  <c r="P17" i="12"/>
  <c r="P13" i="12"/>
  <c r="U13" i="11"/>
  <c r="U17" i="11"/>
  <c r="I13" i="11"/>
  <c r="I17" i="11"/>
  <c r="F13" i="13"/>
  <c r="F17" i="13"/>
  <c r="U13" i="12"/>
  <c r="M13" i="11"/>
  <c r="M17" i="11"/>
  <c r="C13" i="14"/>
  <c r="C17" i="14"/>
  <c r="Q13" i="12"/>
  <c r="V13" i="11"/>
  <c r="C17" i="16"/>
  <c r="C13" i="16"/>
  <c r="AA17" i="12"/>
  <c r="AA13" i="12"/>
  <c r="AF17" i="11"/>
  <c r="AF13" i="11"/>
  <c r="D67" i="3"/>
  <c r="E3" i="13"/>
  <c r="E16" i="13" s="1"/>
  <c r="T94" i="3"/>
  <c r="U3" i="16"/>
  <c r="U16" i="16" s="1"/>
  <c r="H94" i="3"/>
  <c r="I3" i="16"/>
  <c r="G4" i="10"/>
  <c r="G16" i="10"/>
  <c r="V3" i="12"/>
  <c r="V16" i="12" s="1"/>
  <c r="D3" i="13"/>
  <c r="R3" i="13"/>
  <c r="R16" i="13" s="1"/>
  <c r="AE3" i="13"/>
  <c r="AE16" i="13" s="1"/>
  <c r="M3" i="14"/>
  <c r="M16" i="14" s="1"/>
  <c r="Z3" i="14"/>
  <c r="Z16" i="14" s="1"/>
  <c r="I3" i="15"/>
  <c r="I16" i="15" s="1"/>
  <c r="V3" i="15"/>
  <c r="V16" i="15" s="1"/>
  <c r="D3" i="16"/>
  <c r="D16" i="16" s="1"/>
  <c r="Q3" i="16"/>
  <c r="Q16" i="16" s="1"/>
  <c r="AD3" i="16"/>
  <c r="AD4" i="16" s="1"/>
  <c r="M3" i="17"/>
  <c r="M16" i="17" s="1"/>
  <c r="Z3" i="17"/>
  <c r="Z16" i="17" s="1"/>
  <c r="C16" i="10"/>
  <c r="R13" i="11"/>
  <c r="Z103" i="3"/>
  <c r="AA3" i="17"/>
  <c r="AA16" i="17" s="1"/>
  <c r="N103" i="3"/>
  <c r="O3" i="17"/>
  <c r="O16" i="17" s="1"/>
  <c r="F4" i="10"/>
  <c r="F16" i="10"/>
  <c r="Q3" i="7"/>
  <c r="Q16" i="7" s="1"/>
  <c r="J3" i="12"/>
  <c r="J4" i="12" s="1"/>
  <c r="S3" i="13"/>
  <c r="S16" i="13" s="1"/>
  <c r="AF3" i="13"/>
  <c r="AF16" i="13" s="1"/>
  <c r="N3" i="14"/>
  <c r="N16" i="14" s="1"/>
  <c r="AA3" i="14"/>
  <c r="AA16" i="14" s="1"/>
  <c r="J3" i="15"/>
  <c r="J16" i="15" s="1"/>
  <c r="W3" i="15"/>
  <c r="W16" i="15" s="1"/>
  <c r="R3" i="16"/>
  <c r="R16" i="16" s="1"/>
  <c r="AE3" i="16"/>
  <c r="AE16" i="16" s="1"/>
  <c r="N3" i="17"/>
  <c r="N16" i="17" s="1"/>
  <c r="AB3" i="17"/>
  <c r="AB16" i="17" s="1"/>
  <c r="G3" i="13"/>
  <c r="G4" i="13" s="1"/>
  <c r="T3" i="13"/>
  <c r="T16" i="13" s="1"/>
  <c r="AG3" i="13"/>
  <c r="AG16" i="13" s="1"/>
  <c r="O3" i="14"/>
  <c r="O16" i="14" s="1"/>
  <c r="AB3" i="14"/>
  <c r="AB16" i="14" s="1"/>
  <c r="K3" i="15"/>
  <c r="K16" i="15" s="1"/>
  <c r="X3" i="15"/>
  <c r="X16" i="15" s="1"/>
  <c r="F3" i="16"/>
  <c r="F16" i="16" s="1"/>
  <c r="S3" i="16"/>
  <c r="AF3" i="16"/>
  <c r="AF16" i="16" s="1"/>
  <c r="P3" i="17"/>
  <c r="P16" i="17" s="1"/>
  <c r="AC3" i="17"/>
  <c r="AC16" i="17" s="1"/>
  <c r="Z3" i="12"/>
  <c r="Z16" i="12" s="1"/>
  <c r="H3" i="13"/>
  <c r="H16" i="13" s="1"/>
  <c r="U3" i="13"/>
  <c r="U16" i="13" s="1"/>
  <c r="P3" i="14"/>
  <c r="AC3" i="14"/>
  <c r="AC16" i="14" s="1"/>
  <c r="AC17" i="14" s="1"/>
  <c r="L3" i="15"/>
  <c r="L16" i="15" s="1"/>
  <c r="Y3" i="15"/>
  <c r="Y16" i="15" s="1"/>
  <c r="G3" i="16"/>
  <c r="G16" i="16" s="1"/>
  <c r="T3" i="16"/>
  <c r="T16" i="16" s="1"/>
  <c r="Q3" i="17"/>
  <c r="Q16" i="17" s="1"/>
  <c r="AD3" i="17"/>
  <c r="AD16" i="17" s="1"/>
  <c r="D16" i="9"/>
  <c r="D3" i="11"/>
  <c r="I3" i="13"/>
  <c r="I16" i="13" s="1"/>
  <c r="V3" i="13"/>
  <c r="V16" i="13" s="1"/>
  <c r="Q3" i="14"/>
  <c r="Q16" i="14" s="1"/>
  <c r="Q17" i="14" s="1"/>
  <c r="AD3" i="14"/>
  <c r="AD16" i="14" s="1"/>
  <c r="M3" i="15"/>
  <c r="M16" i="15" s="1"/>
  <c r="Z3" i="15"/>
  <c r="Z16" i="15" s="1"/>
  <c r="H3" i="16"/>
  <c r="H16" i="16" s="1"/>
  <c r="V3" i="16"/>
  <c r="V16" i="16" s="1"/>
  <c r="E3" i="17"/>
  <c r="R3" i="17"/>
  <c r="R16" i="17" s="1"/>
  <c r="AE3" i="17"/>
  <c r="AE4" i="17" s="1"/>
  <c r="J3" i="13"/>
  <c r="J16" i="13" s="1"/>
  <c r="W3" i="13"/>
  <c r="W16" i="13" s="1"/>
  <c r="E3" i="14"/>
  <c r="R3" i="14"/>
  <c r="AE3" i="14"/>
  <c r="AE16" i="14" s="1"/>
  <c r="N3" i="15"/>
  <c r="N16" i="15" s="1"/>
  <c r="AA3" i="15"/>
  <c r="AA16" i="15" s="1"/>
  <c r="J3" i="16"/>
  <c r="J16" i="16" s="1"/>
  <c r="W3" i="16"/>
  <c r="W16" i="16" s="1"/>
  <c r="F3" i="17"/>
  <c r="F16" i="17" s="1"/>
  <c r="S3" i="17"/>
  <c r="S16" i="17" s="1"/>
  <c r="AF3" i="17"/>
  <c r="AF16" i="17" s="1"/>
  <c r="T3" i="11"/>
  <c r="T16" i="11" s="1"/>
  <c r="K3" i="13"/>
  <c r="K16" i="13" s="1"/>
  <c r="X3" i="13"/>
  <c r="X16" i="13" s="1"/>
  <c r="F3" i="14"/>
  <c r="F16" i="14" s="1"/>
  <c r="S3" i="14"/>
  <c r="S16" i="14" s="1"/>
  <c r="AF3" i="14"/>
  <c r="AF16" i="14" s="1"/>
  <c r="O3" i="15"/>
  <c r="O16" i="15" s="1"/>
  <c r="AC3" i="15"/>
  <c r="AC16" i="15" s="1"/>
  <c r="K3" i="16"/>
  <c r="K16" i="16" s="1"/>
  <c r="X3" i="16"/>
  <c r="X16" i="16" s="1"/>
  <c r="G3" i="17"/>
  <c r="G4" i="17" s="1"/>
  <c r="T3" i="17"/>
  <c r="T16" i="17" s="1"/>
  <c r="AG3" i="17"/>
  <c r="AG16" i="17" s="1"/>
  <c r="H3" i="11"/>
  <c r="H16" i="11" s="1"/>
  <c r="D3" i="12"/>
  <c r="L3" i="13"/>
  <c r="L16" i="13" s="1"/>
  <c r="Y3" i="13"/>
  <c r="Y16" i="13" s="1"/>
  <c r="G3" i="14"/>
  <c r="G16" i="14" s="1"/>
  <c r="T3" i="14"/>
  <c r="C3" i="15"/>
  <c r="C16" i="15" s="1"/>
  <c r="Q3" i="15"/>
  <c r="Q16" i="15" s="1"/>
  <c r="AD3" i="15"/>
  <c r="AD4" i="15" s="1"/>
  <c r="L3" i="16"/>
  <c r="L16" i="16" s="1"/>
  <c r="Y3" i="16"/>
  <c r="Y16" i="16" s="1"/>
  <c r="H3" i="17"/>
  <c r="H16" i="17" s="1"/>
  <c r="U3" i="17"/>
  <c r="U16" i="17" s="1"/>
  <c r="B16" i="16"/>
  <c r="M3" i="13"/>
  <c r="M16" i="13" s="1"/>
  <c r="Z3" i="13"/>
  <c r="Z16" i="13" s="1"/>
  <c r="H3" i="14"/>
  <c r="H16" i="14" s="1"/>
  <c r="H17" i="14" s="1"/>
  <c r="U3" i="14"/>
  <c r="U16" i="14" s="1"/>
  <c r="E3" i="15"/>
  <c r="E16" i="15" s="1"/>
  <c r="R3" i="15"/>
  <c r="R16" i="15" s="1"/>
  <c r="AE3" i="15"/>
  <c r="AE16" i="15" s="1"/>
  <c r="M3" i="16"/>
  <c r="M16" i="16" s="1"/>
  <c r="Z3" i="16"/>
  <c r="Z16" i="16" s="1"/>
  <c r="I3" i="17"/>
  <c r="I16" i="17" s="1"/>
  <c r="V3" i="17"/>
  <c r="V16" i="17" s="1"/>
  <c r="F16" i="8"/>
  <c r="AB67" i="3"/>
  <c r="AC3" i="13"/>
  <c r="AC16" i="13" s="1"/>
  <c r="F3" i="12"/>
  <c r="F16" i="12" s="1"/>
  <c r="N3" i="13"/>
  <c r="N16" i="13" s="1"/>
  <c r="AA3" i="13"/>
  <c r="AA16" i="13" s="1"/>
  <c r="I3" i="14"/>
  <c r="I16" i="14" s="1"/>
  <c r="W3" i="14"/>
  <c r="W16" i="14" s="1"/>
  <c r="F3" i="15"/>
  <c r="S3" i="15"/>
  <c r="S16" i="15" s="1"/>
  <c r="AF3" i="15"/>
  <c r="AF16" i="15" s="1"/>
  <c r="N3" i="16"/>
  <c r="N16" i="16" s="1"/>
  <c r="AA3" i="16"/>
  <c r="AA16" i="16" s="1"/>
  <c r="J3" i="17"/>
  <c r="J16" i="17" s="1"/>
  <c r="W3" i="17"/>
  <c r="W16" i="17" s="1"/>
  <c r="B16" i="13"/>
  <c r="P67" i="3"/>
  <c r="Q3" i="13"/>
  <c r="Q16" i="13" s="1"/>
  <c r="U76" i="3"/>
  <c r="V3" i="14"/>
  <c r="I76" i="3"/>
  <c r="J3" i="14"/>
  <c r="J16" i="14" s="1"/>
  <c r="AA85" i="3"/>
  <c r="AB3" i="15"/>
  <c r="AB16" i="15" s="1"/>
  <c r="O85" i="3"/>
  <c r="P3" i="15"/>
  <c r="P16" i="15" s="1"/>
  <c r="C85" i="3"/>
  <c r="D3" i="15"/>
  <c r="D16" i="15" s="1"/>
  <c r="X3" i="11"/>
  <c r="X16" i="11" s="1"/>
  <c r="O3" i="13"/>
  <c r="O16" i="13" s="1"/>
  <c r="AB3" i="13"/>
  <c r="AB16" i="13" s="1"/>
  <c r="K3" i="14"/>
  <c r="K4" i="14" s="1"/>
  <c r="X3" i="14"/>
  <c r="X16" i="14" s="1"/>
  <c r="G3" i="15"/>
  <c r="G16" i="15" s="1"/>
  <c r="T3" i="15"/>
  <c r="T16" i="15" s="1"/>
  <c r="AG3" i="15"/>
  <c r="AG16" i="15" s="1"/>
  <c r="O3" i="16"/>
  <c r="O16" i="16" s="1"/>
  <c r="AB3" i="16"/>
  <c r="AB16" i="16" s="1"/>
  <c r="K3" i="17"/>
  <c r="K16" i="17" s="1"/>
  <c r="X3" i="17"/>
  <c r="X16" i="17" s="1"/>
  <c r="P3" i="13"/>
  <c r="P16" i="13" s="1"/>
  <c r="AD3" i="13"/>
  <c r="AD16" i="13" s="1"/>
  <c r="L3" i="14"/>
  <c r="L16" i="14" s="1"/>
  <c r="Y3" i="14"/>
  <c r="Y16" i="14" s="1"/>
  <c r="H3" i="15"/>
  <c r="H16" i="15" s="1"/>
  <c r="U3" i="15"/>
  <c r="U16" i="15" s="1"/>
  <c r="P3" i="16"/>
  <c r="P16" i="16" s="1"/>
  <c r="AC3" i="16"/>
  <c r="AC16" i="16" s="1"/>
  <c r="L3" i="17"/>
  <c r="L16" i="17" s="1"/>
  <c r="Y3" i="17"/>
  <c r="Y16" i="17" s="1"/>
  <c r="D17" i="17"/>
  <c r="E17" i="16"/>
  <c r="E17" i="15"/>
  <c r="D17" i="14"/>
  <c r="M17" i="14"/>
  <c r="Q17" i="13"/>
  <c r="C17" i="12"/>
  <c r="G17" i="12"/>
  <c r="K17" i="12"/>
  <c r="O17" i="12"/>
  <c r="S17" i="12"/>
  <c r="AE17" i="12"/>
  <c r="H17" i="12"/>
  <c r="L17" i="12"/>
  <c r="T17" i="12"/>
  <c r="X17" i="12"/>
  <c r="AF17" i="12"/>
  <c r="E17" i="12"/>
  <c r="I17" i="12"/>
  <c r="M17" i="12"/>
  <c r="Q17" i="12"/>
  <c r="U17" i="12"/>
  <c r="Y17" i="12"/>
  <c r="AC17" i="12"/>
  <c r="AG17" i="12"/>
  <c r="F17" i="11"/>
  <c r="J17" i="11"/>
  <c r="R17" i="11"/>
  <c r="V17" i="11"/>
  <c r="Z17" i="11"/>
  <c r="C17" i="11"/>
  <c r="G17" i="11"/>
  <c r="K17" i="11"/>
  <c r="O17" i="11"/>
  <c r="S17" i="11"/>
  <c r="W17" i="11"/>
  <c r="AA17" i="11"/>
  <c r="AE17" i="11"/>
  <c r="C4" i="11"/>
  <c r="C4" i="16"/>
  <c r="S3" i="10"/>
  <c r="J3" i="6"/>
  <c r="L4" i="13"/>
  <c r="E4" i="13"/>
  <c r="M4" i="13"/>
  <c r="AC4" i="13"/>
  <c r="G4" i="16"/>
  <c r="P3" i="6"/>
  <c r="P4" i="6" s="1"/>
  <c r="I3" i="7"/>
  <c r="I16" i="7" s="1"/>
  <c r="P3" i="9"/>
  <c r="H4" i="11"/>
  <c r="X4" i="13"/>
  <c r="AF4" i="13"/>
  <c r="Z3" i="6"/>
  <c r="V3" i="8"/>
  <c r="Q4" i="13"/>
  <c r="Y4" i="13"/>
  <c r="AG4" i="13"/>
  <c r="Y3" i="7"/>
  <c r="Y16" i="7" s="1"/>
  <c r="N3" i="8"/>
  <c r="Z4" i="3"/>
  <c r="AA3" i="6"/>
  <c r="R4" i="3"/>
  <c r="S3" i="6"/>
  <c r="J4" i="3"/>
  <c r="K3" i="6"/>
  <c r="B31" i="3"/>
  <c r="C3" i="9"/>
  <c r="Q58" i="3"/>
  <c r="R4" i="12"/>
  <c r="AD49" i="3"/>
  <c r="AE4" i="11"/>
  <c r="V49" i="3"/>
  <c r="W4" i="11"/>
  <c r="N49" i="3"/>
  <c r="O4" i="11"/>
  <c r="F49" i="3"/>
  <c r="G4" i="11"/>
  <c r="AB40" i="3"/>
  <c r="AC3" i="10"/>
  <c r="P40" i="3"/>
  <c r="Q3" i="10"/>
  <c r="U31" i="3"/>
  <c r="V3" i="9"/>
  <c r="M31" i="3"/>
  <c r="N3" i="9"/>
  <c r="I31" i="3"/>
  <c r="J3" i="9"/>
  <c r="E31" i="3"/>
  <c r="F3" i="9"/>
  <c r="S22" i="3"/>
  <c r="T3" i="8"/>
  <c r="C22" i="3"/>
  <c r="D3" i="8"/>
  <c r="Z13" i="3"/>
  <c r="AA3" i="7"/>
  <c r="AA16" i="7" s="1"/>
  <c r="J13" i="3"/>
  <c r="K3" i="7"/>
  <c r="K16" i="7" s="1"/>
  <c r="C4" i="3"/>
  <c r="D3" i="6"/>
  <c r="Z4" i="14"/>
  <c r="Q4" i="14"/>
  <c r="M4" i="14"/>
  <c r="U4" i="3"/>
  <c r="V3" i="6"/>
  <c r="E4" i="3"/>
  <c r="F3" i="6"/>
  <c r="AB58" i="3"/>
  <c r="AC4" i="12"/>
  <c r="T58" i="3"/>
  <c r="U4" i="12"/>
  <c r="L58" i="3"/>
  <c r="M4" i="12"/>
  <c r="D58" i="3"/>
  <c r="E4" i="12"/>
  <c r="Y49" i="3"/>
  <c r="Z4" i="11"/>
  <c r="Q49" i="3"/>
  <c r="R4" i="11"/>
  <c r="I49" i="3"/>
  <c r="J4" i="11"/>
  <c r="AE40" i="3"/>
  <c r="AF3" i="10"/>
  <c r="W40" i="3"/>
  <c r="X3" i="10"/>
  <c r="O40" i="3"/>
  <c r="P3" i="10"/>
  <c r="G40" i="3"/>
  <c r="H3" i="10"/>
  <c r="AB31" i="3"/>
  <c r="AC3" i="9"/>
  <c r="T31" i="3"/>
  <c r="U3" i="9"/>
  <c r="L31" i="3"/>
  <c r="M3" i="9"/>
  <c r="D31" i="3"/>
  <c r="E3" i="9"/>
  <c r="Z22" i="3"/>
  <c r="AA3" i="8"/>
  <c r="R22" i="3"/>
  <c r="S3" i="8"/>
  <c r="J22" i="3"/>
  <c r="K3" i="8"/>
  <c r="AC13" i="3"/>
  <c r="AD3" i="7"/>
  <c r="U13" i="3"/>
  <c r="V3" i="7"/>
  <c r="M13" i="3"/>
  <c r="N3" i="7"/>
  <c r="I13" i="3"/>
  <c r="J3" i="7"/>
  <c r="W4" i="15"/>
  <c r="AC4" i="15"/>
  <c r="R4" i="15"/>
  <c r="O4" i="14"/>
  <c r="AF3" i="6"/>
  <c r="AF4" i="6" s="1"/>
  <c r="AF3" i="8"/>
  <c r="P3" i="8"/>
  <c r="AD3" i="9"/>
  <c r="V4" i="12"/>
  <c r="AF4" i="3"/>
  <c r="AG3" i="6"/>
  <c r="AB4" i="3"/>
  <c r="AC3" i="6"/>
  <c r="X4" i="3"/>
  <c r="Y3" i="6"/>
  <c r="T4" i="3"/>
  <c r="U3" i="6"/>
  <c r="P4" i="3"/>
  <c r="Q3" i="6"/>
  <c r="L4" i="3"/>
  <c r="M3" i="6"/>
  <c r="H4" i="3"/>
  <c r="I3" i="6"/>
  <c r="AE58" i="3"/>
  <c r="AF4" i="12"/>
  <c r="AA58" i="3"/>
  <c r="AB4" i="12"/>
  <c r="W58" i="3"/>
  <c r="X4" i="12"/>
  <c r="S58" i="3"/>
  <c r="T4" i="12"/>
  <c r="O58" i="3"/>
  <c r="P4" i="12"/>
  <c r="K58" i="3"/>
  <c r="L4" i="12"/>
  <c r="G58" i="3"/>
  <c r="H4" i="12"/>
  <c r="AB49" i="3"/>
  <c r="AC4" i="11"/>
  <c r="X49" i="3"/>
  <c r="Y4" i="11"/>
  <c r="T49" i="3"/>
  <c r="U4" i="11"/>
  <c r="P49" i="3"/>
  <c r="Q4" i="11"/>
  <c r="L49" i="3"/>
  <c r="M4" i="11"/>
  <c r="H49" i="3"/>
  <c r="I4" i="11"/>
  <c r="D49" i="3"/>
  <c r="E4" i="11"/>
  <c r="AD40" i="3"/>
  <c r="AE3" i="10"/>
  <c r="Z40" i="3"/>
  <c r="AA3" i="10"/>
  <c r="N40" i="3"/>
  <c r="O3" i="10"/>
  <c r="J40" i="3"/>
  <c r="K3" i="10"/>
  <c r="AE31" i="3"/>
  <c r="AF3" i="9"/>
  <c r="W31" i="3"/>
  <c r="X3" i="9"/>
  <c r="K31" i="3"/>
  <c r="L3" i="9"/>
  <c r="G31" i="3"/>
  <c r="H3" i="9"/>
  <c r="R3" i="6"/>
  <c r="C3" i="7"/>
  <c r="C16" i="7" s="1"/>
  <c r="O3" i="7"/>
  <c r="O16" i="7" s="1"/>
  <c r="AD3" i="8"/>
  <c r="AB3" i="9"/>
  <c r="W3" i="10"/>
  <c r="X4" i="11"/>
  <c r="AD4" i="3"/>
  <c r="AE3" i="6"/>
  <c r="V4" i="3"/>
  <c r="W3" i="6"/>
  <c r="N4" i="3"/>
  <c r="O3" i="6"/>
  <c r="F4" i="3"/>
  <c r="G3" i="6"/>
  <c r="AC58" i="3"/>
  <c r="M58" i="3"/>
  <c r="Z49" i="3"/>
  <c r="AA4" i="11"/>
  <c r="R49" i="3"/>
  <c r="S4" i="11"/>
  <c r="J49" i="3"/>
  <c r="K4" i="11"/>
  <c r="AF40" i="3"/>
  <c r="AG3" i="10"/>
  <c r="X40" i="3"/>
  <c r="Y3" i="10"/>
  <c r="T40" i="3"/>
  <c r="U3" i="10"/>
  <c r="L40" i="3"/>
  <c r="M3" i="10"/>
  <c r="H40" i="3"/>
  <c r="I3" i="10"/>
  <c r="D40" i="3"/>
  <c r="E3" i="10"/>
  <c r="Y31" i="3"/>
  <c r="Z3" i="9"/>
  <c r="Q31" i="3"/>
  <c r="R3" i="9"/>
  <c r="AA22" i="3"/>
  <c r="AB3" i="8"/>
  <c r="K22" i="3"/>
  <c r="L3" i="8"/>
  <c r="R13" i="3"/>
  <c r="S3" i="7"/>
  <c r="S16" i="7" s="1"/>
  <c r="D4" i="14"/>
  <c r="W3" i="7"/>
  <c r="W16" i="7" s="1"/>
  <c r="G3" i="7"/>
  <c r="G16" i="7" s="1"/>
  <c r="AC4" i="3"/>
  <c r="AD3" i="6"/>
  <c r="AD4" i="6" s="1"/>
  <c r="M4" i="3"/>
  <c r="N3" i="6"/>
  <c r="AF58" i="3"/>
  <c r="X58" i="3"/>
  <c r="P58" i="3"/>
  <c r="H58" i="3"/>
  <c r="I4" i="12"/>
  <c r="AC49" i="3"/>
  <c r="AD4" i="11"/>
  <c r="U49" i="3"/>
  <c r="V4" i="11"/>
  <c r="M49" i="3"/>
  <c r="N4" i="11"/>
  <c r="E49" i="3"/>
  <c r="F4" i="11"/>
  <c r="AA40" i="3"/>
  <c r="AB3" i="10"/>
  <c r="S40" i="3"/>
  <c r="T3" i="10"/>
  <c r="K40" i="3"/>
  <c r="L3" i="10"/>
  <c r="C40" i="3"/>
  <c r="D3" i="10"/>
  <c r="X31" i="3"/>
  <c r="Y3" i="9"/>
  <c r="P31" i="3"/>
  <c r="Q3" i="9"/>
  <c r="H31" i="3"/>
  <c r="I3" i="9"/>
  <c r="AD22" i="3"/>
  <c r="AE3" i="8"/>
  <c r="V22" i="3"/>
  <c r="W3" i="8"/>
  <c r="N22" i="3"/>
  <c r="O3" i="8"/>
  <c r="F22" i="3"/>
  <c r="G3" i="8"/>
  <c r="Y13" i="3"/>
  <c r="Z3" i="7"/>
  <c r="Q13" i="3"/>
  <c r="R3" i="7"/>
  <c r="E13" i="3"/>
  <c r="F3" i="7"/>
  <c r="AA4" i="3"/>
  <c r="AB3" i="6"/>
  <c r="S4" i="3"/>
  <c r="T3" i="6"/>
  <c r="K4" i="3"/>
  <c r="L3" i="6"/>
  <c r="B22" i="3"/>
  <c r="C3" i="8"/>
  <c r="B58" i="3"/>
  <c r="AD58" i="3"/>
  <c r="Z58" i="3"/>
  <c r="AA4" i="12"/>
  <c r="V58" i="3"/>
  <c r="W4" i="12"/>
  <c r="R58" i="3"/>
  <c r="N58" i="3"/>
  <c r="J58" i="3"/>
  <c r="K4" i="12"/>
  <c r="F58" i="3"/>
  <c r="G4" i="12"/>
  <c r="AE49" i="3"/>
  <c r="AF4" i="11"/>
  <c r="AA49" i="3"/>
  <c r="AB4" i="11"/>
  <c r="O49" i="3"/>
  <c r="P4" i="11"/>
  <c r="K49" i="3"/>
  <c r="L4" i="11"/>
  <c r="AC40" i="3"/>
  <c r="AD3" i="10"/>
  <c r="Y40" i="3"/>
  <c r="Z3" i="10"/>
  <c r="U40" i="3"/>
  <c r="V3" i="10"/>
  <c r="C4" i="14"/>
  <c r="E4" i="15"/>
  <c r="P4" i="15"/>
  <c r="H3" i="6"/>
  <c r="H4" i="6" s="1"/>
  <c r="X3" i="6"/>
  <c r="X4" i="6" s="1"/>
  <c r="X3" i="8"/>
  <c r="H3" i="8"/>
  <c r="T3" i="9"/>
  <c r="E4" i="16"/>
  <c r="F4" i="13"/>
  <c r="N4" i="13"/>
  <c r="Z4" i="13"/>
  <c r="AD4" i="13"/>
  <c r="AC3" i="7"/>
  <c r="AC16" i="7" s="1"/>
  <c r="U3" i="7"/>
  <c r="U16" i="7" s="1"/>
  <c r="M3" i="7"/>
  <c r="M16" i="7" s="1"/>
  <c r="E3" i="7"/>
  <c r="E16" i="7" s="1"/>
  <c r="Q40" i="3"/>
  <c r="R3" i="10"/>
  <c r="M40" i="3"/>
  <c r="N3" i="10"/>
  <c r="I40" i="3"/>
  <c r="J3" i="10"/>
  <c r="AD31" i="3"/>
  <c r="AE3" i="9"/>
  <c r="Z31" i="3"/>
  <c r="AA3" i="9"/>
  <c r="V31" i="3"/>
  <c r="W3" i="9"/>
  <c r="R31" i="3"/>
  <c r="S3" i="9"/>
  <c r="N31" i="3"/>
  <c r="O3" i="9"/>
  <c r="J31" i="3"/>
  <c r="K3" i="9"/>
  <c r="F31" i="3"/>
  <c r="G3" i="9"/>
  <c r="AF22" i="3"/>
  <c r="AG3" i="8"/>
  <c r="AB22" i="3"/>
  <c r="AC3" i="8"/>
  <c r="X22" i="3"/>
  <c r="Y3" i="8"/>
  <c r="T22" i="3"/>
  <c r="U3" i="8"/>
  <c r="P22" i="3"/>
  <c r="Q3" i="8"/>
  <c r="L22" i="3"/>
  <c r="M3" i="8"/>
  <c r="H22" i="3"/>
  <c r="I3" i="8"/>
  <c r="D22" i="3"/>
  <c r="E3" i="8"/>
  <c r="AA13" i="3"/>
  <c r="AB3" i="7"/>
  <c r="W13" i="3"/>
  <c r="X3" i="7"/>
  <c r="S13" i="3"/>
  <c r="T3" i="7"/>
  <c r="O13" i="3"/>
  <c r="P3" i="7"/>
  <c r="K13" i="3"/>
  <c r="L3" i="7"/>
  <c r="G13" i="3"/>
  <c r="H3" i="7"/>
  <c r="C13" i="3"/>
  <c r="D3" i="7"/>
  <c r="D4" i="3"/>
  <c r="E3" i="6"/>
  <c r="C4" i="13"/>
  <c r="K4" i="13"/>
  <c r="O4" i="13"/>
  <c r="S4" i="13"/>
  <c r="AA4" i="13"/>
  <c r="Z3" i="8"/>
  <c r="R3" i="8"/>
  <c r="J3" i="8"/>
  <c r="C4" i="6"/>
  <c r="B16" i="6"/>
  <c r="K4" i="17"/>
  <c r="D4" i="17"/>
  <c r="M4" i="17"/>
  <c r="C4" i="17"/>
  <c r="AA4" i="17"/>
  <c r="J4" i="17"/>
  <c r="V4" i="17"/>
  <c r="Z4" i="17"/>
  <c r="AE4" i="12"/>
  <c r="Q4" i="12"/>
  <c r="Y4" i="12"/>
  <c r="AG4" i="12"/>
  <c r="N4" i="12"/>
  <c r="AD4" i="12"/>
  <c r="C4" i="12"/>
  <c r="O4" i="12"/>
  <c r="S4" i="12"/>
  <c r="N29" i="5" a="1"/>
  <c r="N29" i="5" s="1"/>
  <c r="K28" i="5" a="1"/>
  <c r="K28" i="5" s="1"/>
  <c r="B76" i="3"/>
  <c r="H31" i="5" a="1"/>
  <c r="H31" i="5" s="1"/>
  <c r="I31" i="5" a="1"/>
  <c r="I31" i="5" s="1"/>
  <c r="G18" i="5" a="1"/>
  <c r="G18" i="5" s="1"/>
  <c r="F40" i="3"/>
  <c r="F17" i="5" a="1"/>
  <c r="F17" i="5" s="1"/>
  <c r="E29" i="5" a="1"/>
  <c r="E29" i="5" s="1"/>
  <c r="B103" i="3"/>
  <c r="D30" i="5" a="1"/>
  <c r="D30" i="5" s="1"/>
  <c r="M29" i="5" a="1"/>
  <c r="M29" i="5" s="1"/>
  <c r="K31" i="5" a="1"/>
  <c r="K31" i="5" s="1"/>
  <c r="C76" i="3"/>
  <c r="J32" i="5" a="1"/>
  <c r="J32" i="5" s="1"/>
  <c r="E67" i="3"/>
  <c r="I32" i="5" a="1"/>
  <c r="I32" i="5" s="1"/>
  <c r="M30" i="5" a="1"/>
  <c r="M30" i="5" s="1"/>
  <c r="B94" i="3"/>
  <c r="J19" i="5" a="1"/>
  <c r="J19" i="5" s="1"/>
  <c r="G34" i="5" a="1"/>
  <c r="G34" i="5" s="1"/>
  <c r="E40" i="3"/>
  <c r="C58" i="3"/>
  <c r="G28" i="5" a="1"/>
  <c r="G28" i="5" s="1"/>
  <c r="B40" i="3"/>
  <c r="C30" i="5" a="1"/>
  <c r="C30" i="5" s="1"/>
  <c r="L31" i="5" a="1"/>
  <c r="L31" i="5" s="1"/>
  <c r="N20" i="5" a="1"/>
  <c r="N20" i="5" s="1"/>
  <c r="C103" i="3"/>
  <c r="C31" i="5" a="1"/>
  <c r="C31" i="5" s="1"/>
  <c r="E30" i="5" a="1"/>
  <c r="E30" i="5" s="1"/>
  <c r="F29" i="5" a="1"/>
  <c r="F29" i="5" s="1"/>
  <c r="J29" i="5" a="1"/>
  <c r="J29" i="5" s="1"/>
  <c r="B67" i="3"/>
  <c r="N30" i="5" a="1"/>
  <c r="N30" i="5" s="1"/>
  <c r="B4" i="3"/>
  <c r="E22" i="3"/>
  <c r="C31" i="3"/>
  <c r="B49" i="3"/>
  <c r="D94" i="3"/>
  <c r="E16" i="5" a="1"/>
  <c r="E16" i="5" s="1"/>
  <c r="F18" i="5" a="1"/>
  <c r="F18" i="5" s="1"/>
  <c r="H20" i="5" a="1"/>
  <c r="H20" i="5" s="1"/>
  <c r="I17" i="5" a="1"/>
  <c r="I17" i="5" s="1"/>
  <c r="M21" i="5" a="1"/>
  <c r="M21" i="5" s="1"/>
  <c r="K17" i="5" a="1"/>
  <c r="K17" i="5" s="1"/>
  <c r="M34" i="5" a="1"/>
  <c r="M34" i="5" s="1"/>
  <c r="E33" i="5" a="1"/>
  <c r="E33" i="5" s="1"/>
  <c r="G31" i="5" a="1"/>
  <c r="G31" i="5" s="1"/>
  <c r="H30" i="5" a="1"/>
  <c r="H30" i="5" s="1"/>
  <c r="C34" i="5" a="1"/>
  <c r="C34" i="5" s="1"/>
  <c r="D29" i="5" a="1"/>
  <c r="D29" i="5" s="1"/>
  <c r="H28" i="5" a="1"/>
  <c r="H28" i="5" s="1"/>
  <c r="D21" i="5" a="1"/>
  <c r="D21" i="5" s="1"/>
  <c r="E18" i="5" a="1"/>
  <c r="E18" i="5" s="1"/>
  <c r="G21" i="5" a="1"/>
  <c r="G21" i="5" s="1"/>
  <c r="I20" i="5" a="1"/>
  <c r="I20" i="5" s="1"/>
  <c r="L16" i="5" a="1"/>
  <c r="L16" i="5" s="1"/>
  <c r="L19" i="5" a="1"/>
  <c r="L19" i="5" s="1"/>
  <c r="L34" i="5" a="1"/>
  <c r="L34" i="5" s="1"/>
  <c r="H33" i="5" a="1"/>
  <c r="H33" i="5" s="1"/>
  <c r="J31" i="5" a="1"/>
  <c r="J31" i="5" s="1"/>
  <c r="F31" i="5" a="1"/>
  <c r="F31" i="5" s="1"/>
  <c r="K30" i="5" a="1"/>
  <c r="K30" i="5" s="1"/>
  <c r="G30" i="5" a="1"/>
  <c r="G30" i="5" s="1"/>
  <c r="L29" i="5" a="1"/>
  <c r="L29" i="5" s="1"/>
  <c r="H29" i="5" a="1"/>
  <c r="H29" i="5" s="1"/>
  <c r="I34" i="5" a="1"/>
  <c r="I34" i="5" s="1"/>
  <c r="I30" i="5" a="1"/>
  <c r="I30" i="5" s="1"/>
  <c r="C33" i="5" a="1"/>
  <c r="C33" i="5" s="1"/>
  <c r="C29" i="5" a="1"/>
  <c r="C29" i="5" s="1"/>
  <c r="D32" i="5" a="1"/>
  <c r="D32" i="5" s="1"/>
  <c r="E28" i="5" a="1"/>
  <c r="E28" i="5" s="1"/>
  <c r="I28" i="5" a="1"/>
  <c r="I28" i="5" s="1"/>
  <c r="M28" i="5" a="1"/>
  <c r="M28" i="5" s="1"/>
  <c r="N32" i="5" a="1"/>
  <c r="N32" i="5" s="1"/>
  <c r="E19" i="5" a="1"/>
  <c r="E19" i="5" s="1"/>
  <c r="G22" i="5" a="1"/>
  <c r="G22" i="5" s="1"/>
  <c r="H22" i="5" a="1"/>
  <c r="H22" i="5" s="1"/>
  <c r="J20" i="5" a="1"/>
  <c r="J20" i="5" s="1"/>
  <c r="M22" i="5" a="1"/>
  <c r="M22" i="5" s="1"/>
  <c r="M18" i="5" a="1"/>
  <c r="M18" i="5" s="1"/>
  <c r="M16" i="5" a="1"/>
  <c r="M16" i="5" s="1"/>
  <c r="C20" i="5" a="1"/>
  <c r="C20" i="5" s="1"/>
  <c r="M33" i="5" a="1"/>
  <c r="M33" i="5" s="1"/>
  <c r="F32" i="5" a="1"/>
  <c r="F32" i="5" s="1"/>
  <c r="L30" i="5" a="1"/>
  <c r="L30" i="5" s="1"/>
  <c r="N33" i="5" a="1"/>
  <c r="N33" i="5" s="1"/>
  <c r="D19" i="5" a="1"/>
  <c r="D19" i="5" s="1"/>
  <c r="F21" i="5" a="1"/>
  <c r="F21" i="5" s="1"/>
  <c r="G17" i="5" a="1"/>
  <c r="G17" i="5" s="1"/>
  <c r="J16" i="5" a="1"/>
  <c r="J16" i="5" s="1"/>
  <c r="L22" i="5" a="1"/>
  <c r="L22" i="5" s="1"/>
  <c r="N17" i="5" a="1"/>
  <c r="N17" i="5" s="1"/>
  <c r="C16" i="5" a="1"/>
  <c r="C16" i="5" s="1"/>
  <c r="E32" i="5" a="1"/>
  <c r="E32" i="5" s="1"/>
  <c r="D18" i="5" a="1"/>
  <c r="D18" i="5" s="1"/>
  <c r="E21" i="5" a="1"/>
  <c r="E21" i="5" s="1"/>
  <c r="E17" i="5" a="1"/>
  <c r="E17" i="5" s="1"/>
  <c r="F20" i="5" a="1"/>
  <c r="F20" i="5" s="1"/>
  <c r="G16" i="5" a="1"/>
  <c r="G16" i="5" s="1"/>
  <c r="G20" i="5" a="1"/>
  <c r="G20" i="5" s="1"/>
  <c r="H16" i="5" a="1"/>
  <c r="H16" i="5" s="1"/>
  <c r="H21" i="5" a="1"/>
  <c r="H21" i="5" s="1"/>
  <c r="H19" i="5" a="1"/>
  <c r="H19" i="5" s="1"/>
  <c r="I16" i="5" a="1"/>
  <c r="I16" i="5" s="1"/>
  <c r="I19" i="5" a="1"/>
  <c r="I19" i="5" s="1"/>
  <c r="J22" i="5" a="1"/>
  <c r="J22" i="5" s="1"/>
  <c r="J18" i="5" a="1"/>
  <c r="J18" i="5" s="1"/>
  <c r="N16" i="5" a="1"/>
  <c r="N16" i="5" s="1"/>
  <c r="K22" i="5" a="1"/>
  <c r="K22" i="5" s="1"/>
  <c r="L21" i="5" a="1"/>
  <c r="L21" i="5" s="1"/>
  <c r="M20" i="5" a="1"/>
  <c r="M20" i="5" s="1"/>
  <c r="N19" i="5" a="1"/>
  <c r="N19" i="5" s="1"/>
  <c r="K19" i="5" a="1"/>
  <c r="K19" i="5" s="1"/>
  <c r="L18" i="5" a="1"/>
  <c r="L18" i="5" s="1"/>
  <c r="M17" i="5" a="1"/>
  <c r="M17" i="5" s="1"/>
  <c r="C22" i="5" a="1"/>
  <c r="C22" i="5" s="1"/>
  <c r="C18" i="5" a="1"/>
  <c r="C18" i="5" s="1"/>
  <c r="K34" i="5" a="1"/>
  <c r="K34" i="5" s="1"/>
  <c r="F34" i="5" a="1"/>
  <c r="F34" i="5" s="1"/>
  <c r="K33" i="5" a="1"/>
  <c r="K33" i="5" s="1"/>
  <c r="G33" i="5" a="1"/>
  <c r="G33" i="5" s="1"/>
  <c r="L32" i="5" a="1"/>
  <c r="L32" i="5" s="1"/>
  <c r="H32" i="5" a="1"/>
  <c r="H32" i="5" s="1"/>
  <c r="M31" i="5" a="1"/>
  <c r="M31" i="5" s="1"/>
  <c r="E31" i="5" a="1"/>
  <c r="E31" i="5" s="1"/>
  <c r="J30" i="5" a="1"/>
  <c r="J30" i="5" s="1"/>
  <c r="F30" i="5" a="1"/>
  <c r="F30" i="5" s="1"/>
  <c r="K29" i="5" a="1"/>
  <c r="K29" i="5" s="1"/>
  <c r="G29" i="5" a="1"/>
  <c r="G29" i="5" s="1"/>
  <c r="I33" i="5" a="1"/>
  <c r="I33" i="5" s="1"/>
  <c r="I29" i="5" a="1"/>
  <c r="I29" i="5" s="1"/>
  <c r="C32" i="5" a="1"/>
  <c r="C32" i="5" s="1"/>
  <c r="D28" i="5" a="1"/>
  <c r="D28" i="5" s="1"/>
  <c r="D31" i="5" a="1"/>
  <c r="D31" i="5" s="1"/>
  <c r="F28" i="5" a="1"/>
  <c r="F28" i="5" s="1"/>
  <c r="J28" i="5" a="1"/>
  <c r="J28" i="5" s="1"/>
  <c r="N28" i="5" a="1"/>
  <c r="N28" i="5" s="1"/>
  <c r="N31" i="5" a="1"/>
  <c r="N31" i="5" s="1"/>
  <c r="F22" i="5" a="1"/>
  <c r="F22" i="5" s="1"/>
  <c r="I21" i="5" a="1"/>
  <c r="I21" i="5" s="1"/>
  <c r="K16" i="5" a="1"/>
  <c r="K16" i="5" s="1"/>
  <c r="K20" i="5" a="1"/>
  <c r="K20" i="5" s="1"/>
  <c r="H34" i="5" a="1"/>
  <c r="H34" i="5" s="1"/>
  <c r="D33" i="5" a="1"/>
  <c r="D33" i="5" s="1"/>
  <c r="L28" i="5" a="1"/>
  <c r="L28" i="5" s="1"/>
  <c r="D16" i="5" a="1"/>
  <c r="D16" i="5" s="1"/>
  <c r="E22" i="5" a="1"/>
  <c r="E22" i="5" s="1"/>
  <c r="H17" i="5" a="1"/>
  <c r="H17" i="5" s="1"/>
  <c r="C19" i="5" a="1"/>
  <c r="C19" i="5" s="1"/>
  <c r="L33" i="5" a="1"/>
  <c r="L33" i="5" s="1"/>
  <c r="M32" i="5" a="1"/>
  <c r="M32" i="5" s="1"/>
  <c r="D22" i="5" a="1"/>
  <c r="D22" i="5" s="1"/>
  <c r="D20" i="5" a="1"/>
  <c r="D20" i="5" s="1"/>
  <c r="D17" i="5" a="1"/>
  <c r="D17" i="5" s="1"/>
  <c r="E20" i="5" a="1"/>
  <c r="E20" i="5" s="1"/>
  <c r="F16" i="5" a="1"/>
  <c r="F16" i="5" s="1"/>
  <c r="F19" i="5" a="1"/>
  <c r="F19" i="5" s="1"/>
  <c r="G19" i="5" a="1"/>
  <c r="G19" i="5" s="1"/>
  <c r="H18" i="5" a="1"/>
  <c r="H18" i="5" s="1"/>
  <c r="I22" i="5" a="1"/>
  <c r="I22" i="5" s="1"/>
  <c r="I18" i="5" a="1"/>
  <c r="I18" i="5" s="1"/>
  <c r="J21" i="5" a="1"/>
  <c r="J21" i="5" s="1"/>
  <c r="J17" i="5" a="1"/>
  <c r="J17" i="5" s="1"/>
  <c r="N22" i="5" a="1"/>
  <c r="N22" i="5" s="1"/>
  <c r="N21" i="5" a="1"/>
  <c r="N21" i="5" s="1"/>
  <c r="K21" i="5" a="1"/>
  <c r="K21" i="5" s="1"/>
  <c r="L20" i="5" a="1"/>
  <c r="L20" i="5" s="1"/>
  <c r="M19" i="5" a="1"/>
  <c r="M19" i="5" s="1"/>
  <c r="N18" i="5" a="1"/>
  <c r="N18" i="5" s="1"/>
  <c r="K18" i="5" a="1"/>
  <c r="K18" i="5" s="1"/>
  <c r="L17" i="5" a="1"/>
  <c r="L17" i="5" s="1"/>
  <c r="C21" i="5" a="1"/>
  <c r="C21" i="5" s="1"/>
  <c r="C17" i="5" a="1"/>
  <c r="C17" i="5" s="1"/>
  <c r="J34" i="5" a="1"/>
  <c r="J34" i="5" s="1"/>
  <c r="E34" i="5" a="1"/>
  <c r="E34" i="5" s="1"/>
  <c r="J33" i="5" a="1"/>
  <c r="J33" i="5" s="1"/>
  <c r="F33" i="5" a="1"/>
  <c r="F33" i="5" s="1"/>
  <c r="K32" i="5" a="1"/>
  <c r="K32" i="5" s="1"/>
  <c r="G32" i="5" a="1"/>
  <c r="G32" i="5" s="1"/>
  <c r="C28" i="5" a="1"/>
  <c r="C28" i="5" s="1"/>
  <c r="D34" i="5" a="1"/>
  <c r="D34" i="5" s="1"/>
  <c r="N34" i="5" a="1"/>
  <c r="N34" i="5" s="1"/>
  <c r="O12" i="5"/>
  <c r="O11" i="5"/>
  <c r="X4" i="15" l="1"/>
  <c r="P4" i="13"/>
  <c r="AC17" i="13"/>
  <c r="H4" i="13"/>
  <c r="Y4" i="15"/>
  <c r="T4" i="13"/>
  <c r="Y17" i="13"/>
  <c r="AA4" i="15"/>
  <c r="I17" i="13"/>
  <c r="Y4" i="17"/>
  <c r="W4" i="13"/>
  <c r="AG4" i="15"/>
  <c r="F17" i="8"/>
  <c r="U4" i="17"/>
  <c r="T4" i="16"/>
  <c r="Z4" i="15"/>
  <c r="I4" i="13"/>
  <c r="Y17" i="15"/>
  <c r="Z17" i="15"/>
  <c r="W4" i="17"/>
  <c r="V4" i="13"/>
  <c r="J4" i="15"/>
  <c r="U4" i="13"/>
  <c r="J17" i="15"/>
  <c r="J4" i="16"/>
  <c r="V4" i="16"/>
  <c r="AC4" i="16"/>
  <c r="F4" i="16"/>
  <c r="H17" i="16"/>
  <c r="AA4" i="16"/>
  <c r="N4" i="16"/>
  <c r="N4" i="14"/>
  <c r="AB4" i="14"/>
  <c r="AD4" i="14"/>
  <c r="F4" i="14"/>
  <c r="E4" i="14"/>
  <c r="AC4" i="14"/>
  <c r="S4" i="14"/>
  <c r="AF4" i="15"/>
  <c r="AA17" i="7"/>
  <c r="L13" i="17"/>
  <c r="F13" i="8"/>
  <c r="D16" i="12"/>
  <c r="E16" i="14"/>
  <c r="U13" i="13"/>
  <c r="AG13" i="13"/>
  <c r="C4" i="5"/>
  <c r="O4" i="5" s="1"/>
  <c r="D4" i="11"/>
  <c r="AC13" i="16"/>
  <c r="AG17" i="15"/>
  <c r="I13" i="13"/>
  <c r="H13" i="17"/>
  <c r="AG4" i="17"/>
  <c r="AE4" i="14"/>
  <c r="P13" i="17"/>
  <c r="V13" i="15"/>
  <c r="Z4" i="12"/>
  <c r="O13" i="7"/>
  <c r="X13" i="16"/>
  <c r="E16" i="17"/>
  <c r="E13" i="17" s="1"/>
  <c r="T4" i="15"/>
  <c r="T4" i="11"/>
  <c r="I13" i="14"/>
  <c r="R13" i="15"/>
  <c r="Q17" i="15"/>
  <c r="T13" i="16"/>
  <c r="E13" i="13"/>
  <c r="J4" i="13"/>
  <c r="AB4" i="16"/>
  <c r="AB4" i="15"/>
  <c r="P17" i="16"/>
  <c r="I4" i="17"/>
  <c r="P4" i="16"/>
  <c r="U13" i="14"/>
  <c r="T16" i="14"/>
  <c r="T17" i="14" s="1"/>
  <c r="T4" i="14"/>
  <c r="Z13" i="15"/>
  <c r="J13" i="15"/>
  <c r="H4" i="17"/>
  <c r="H17" i="17"/>
  <c r="X13" i="17"/>
  <c r="H13" i="14"/>
  <c r="N13" i="15"/>
  <c r="I4" i="16"/>
  <c r="AC13" i="13"/>
  <c r="Y13" i="13"/>
  <c r="AC13" i="14"/>
  <c r="D16" i="13"/>
  <c r="D4" i="13"/>
  <c r="Q4" i="16"/>
  <c r="M13" i="13"/>
  <c r="R16" i="14"/>
  <c r="R4" i="14"/>
  <c r="Q13" i="14"/>
  <c r="P16" i="14"/>
  <c r="P17" i="14" s="1"/>
  <c r="P4" i="14"/>
  <c r="Q13" i="13"/>
  <c r="H13" i="16"/>
  <c r="M13" i="14"/>
  <c r="C4" i="15"/>
  <c r="H4" i="16"/>
  <c r="Y13" i="16"/>
  <c r="AB13" i="17"/>
  <c r="F13" i="10"/>
  <c r="U13" i="16"/>
  <c r="R4" i="13"/>
  <c r="L4" i="15"/>
  <c r="N17" i="15"/>
  <c r="F4" i="17"/>
  <c r="K4" i="15"/>
  <c r="AA4" i="14"/>
  <c r="H4" i="14"/>
  <c r="N4" i="15"/>
  <c r="D4" i="15"/>
  <c r="F4" i="12"/>
  <c r="AF17" i="14"/>
  <c r="G4" i="15"/>
  <c r="X4" i="17"/>
  <c r="M4" i="15"/>
  <c r="G4" i="14"/>
  <c r="AF4" i="14"/>
  <c r="U4" i="14"/>
  <c r="U17" i="14"/>
  <c r="AC17" i="16"/>
  <c r="O4" i="15"/>
  <c r="X4" i="14"/>
  <c r="M17" i="13"/>
  <c r="AC4" i="7"/>
  <c r="AF4" i="16"/>
  <c r="E4" i="17"/>
  <c r="R4" i="16"/>
  <c r="O4" i="17"/>
  <c r="K4" i="16"/>
  <c r="AF17" i="16"/>
  <c r="T17" i="16"/>
  <c r="X17" i="17"/>
  <c r="E17" i="13"/>
  <c r="Q4" i="17"/>
  <c r="AE4" i="16"/>
  <c r="I4" i="15"/>
  <c r="AF4" i="17"/>
  <c r="Z4" i="16"/>
  <c r="U17" i="15"/>
  <c r="Y17" i="16"/>
  <c r="S4" i="15"/>
  <c r="J4" i="14"/>
  <c r="T4" i="17"/>
  <c r="O4" i="16"/>
  <c r="Y4" i="16"/>
  <c r="L4" i="17"/>
  <c r="AC4" i="17"/>
  <c r="U4" i="15"/>
  <c r="AG17" i="13"/>
  <c r="I17" i="15"/>
  <c r="U17" i="13"/>
  <c r="N4" i="17"/>
  <c r="M4" i="16"/>
  <c r="H4" i="15"/>
  <c r="F4" i="15"/>
  <c r="U17" i="16"/>
  <c r="L4" i="16"/>
  <c r="E17" i="14"/>
  <c r="AD4" i="17"/>
  <c r="V17" i="15"/>
  <c r="AE4" i="15"/>
  <c r="O17" i="7"/>
  <c r="P17" i="17"/>
  <c r="V4" i="14"/>
  <c r="P4" i="17"/>
  <c r="U4" i="16"/>
  <c r="W4" i="14"/>
  <c r="V4" i="15"/>
  <c r="R4" i="17"/>
  <c r="Y4" i="14"/>
  <c r="D4" i="12"/>
  <c r="D4" i="16"/>
  <c r="L4" i="14"/>
  <c r="D17" i="16"/>
  <c r="I4" i="14"/>
  <c r="F17" i="10"/>
  <c r="S4" i="17"/>
  <c r="AB4" i="13"/>
  <c r="I17" i="14"/>
  <c r="AB4" i="17"/>
  <c r="R17" i="15"/>
  <c r="W4" i="16"/>
  <c r="Q4" i="15"/>
  <c r="X4" i="16"/>
  <c r="X17" i="16"/>
  <c r="AB17" i="17"/>
  <c r="AE4" i="13"/>
  <c r="Y13" i="14"/>
  <c r="Y17" i="14"/>
  <c r="K16" i="14"/>
  <c r="V16" i="14"/>
  <c r="AD16" i="15"/>
  <c r="G16" i="17"/>
  <c r="AF13" i="17"/>
  <c r="AF17" i="17"/>
  <c r="AE16" i="17"/>
  <c r="G16" i="13"/>
  <c r="Q13" i="16"/>
  <c r="Q17" i="16"/>
  <c r="I16" i="16"/>
  <c r="X13" i="14"/>
  <c r="X17" i="14"/>
  <c r="F16" i="15"/>
  <c r="M13" i="16"/>
  <c r="M17" i="16"/>
  <c r="T13" i="17"/>
  <c r="T17" i="17"/>
  <c r="D16" i="11"/>
  <c r="J16" i="12"/>
  <c r="AD16" i="16"/>
  <c r="L17" i="17"/>
  <c r="H4" i="7"/>
  <c r="H16" i="7"/>
  <c r="E4" i="8"/>
  <c r="E16" i="8"/>
  <c r="AC4" i="8"/>
  <c r="AC16" i="8"/>
  <c r="X4" i="7"/>
  <c r="X16" i="7"/>
  <c r="U4" i="8"/>
  <c r="U16" i="8"/>
  <c r="O4" i="9"/>
  <c r="O16" i="9"/>
  <c r="N4" i="10"/>
  <c r="N16" i="10"/>
  <c r="G13" i="7"/>
  <c r="Z4" i="9"/>
  <c r="Z16" i="9"/>
  <c r="AG4" i="10"/>
  <c r="AG16" i="10"/>
  <c r="D4" i="8"/>
  <c r="D16" i="8"/>
  <c r="Q4" i="10"/>
  <c r="Q16" i="10"/>
  <c r="W4" i="8"/>
  <c r="W16" i="8"/>
  <c r="L4" i="10"/>
  <c r="L16" i="10"/>
  <c r="W13" i="7"/>
  <c r="AF4" i="9"/>
  <c r="AF16" i="9"/>
  <c r="N4" i="7"/>
  <c r="N16" i="7"/>
  <c r="E4" i="9"/>
  <c r="E16" i="9"/>
  <c r="X4" i="10"/>
  <c r="X16" i="10"/>
  <c r="K17" i="7"/>
  <c r="D4" i="7"/>
  <c r="D16" i="7"/>
  <c r="AB4" i="7"/>
  <c r="AB16" i="7"/>
  <c r="Y4" i="8"/>
  <c r="Y16" i="8"/>
  <c r="S4" i="9"/>
  <c r="S16" i="9"/>
  <c r="R4" i="10"/>
  <c r="R16" i="10"/>
  <c r="E4" i="10"/>
  <c r="E16" i="10"/>
  <c r="T4" i="8"/>
  <c r="T16" i="8"/>
  <c r="AC4" i="10"/>
  <c r="AC16" i="10"/>
  <c r="C4" i="9"/>
  <c r="C16" i="9"/>
  <c r="G17" i="7"/>
  <c r="F4" i="7"/>
  <c r="F16" i="7"/>
  <c r="AE4" i="8"/>
  <c r="AE16" i="8"/>
  <c r="T4" i="10"/>
  <c r="T16" i="10"/>
  <c r="K4" i="10"/>
  <c r="K16" i="10"/>
  <c r="V4" i="7"/>
  <c r="V16" i="7"/>
  <c r="M4" i="9"/>
  <c r="M16" i="9"/>
  <c r="AF4" i="10"/>
  <c r="AF16" i="10"/>
  <c r="C17" i="7"/>
  <c r="S13" i="7"/>
  <c r="W4" i="9"/>
  <c r="W16" i="9"/>
  <c r="E13" i="7"/>
  <c r="E17" i="7"/>
  <c r="I4" i="10"/>
  <c r="I16" i="10"/>
  <c r="F4" i="9"/>
  <c r="F16" i="9"/>
  <c r="M17" i="7"/>
  <c r="M13" i="7"/>
  <c r="T4" i="9"/>
  <c r="T16" i="9"/>
  <c r="V4" i="10"/>
  <c r="V16" i="10"/>
  <c r="R4" i="7"/>
  <c r="R16" i="7"/>
  <c r="I4" i="9"/>
  <c r="I16" i="9"/>
  <c r="AB4" i="10"/>
  <c r="AB16" i="10"/>
  <c r="O4" i="10"/>
  <c r="O16" i="10"/>
  <c r="AD4" i="7"/>
  <c r="AD16" i="7"/>
  <c r="U4" i="9"/>
  <c r="U16" i="9"/>
  <c r="P4" i="9"/>
  <c r="P16" i="9"/>
  <c r="L4" i="7"/>
  <c r="L16" i="7"/>
  <c r="I4" i="8"/>
  <c r="I16" i="8"/>
  <c r="AG4" i="8"/>
  <c r="AG16" i="8"/>
  <c r="AA4" i="9"/>
  <c r="AA16" i="9"/>
  <c r="U17" i="7"/>
  <c r="U13" i="7"/>
  <c r="H4" i="8"/>
  <c r="H16" i="8"/>
  <c r="L4" i="8"/>
  <c r="L16" i="8"/>
  <c r="M4" i="10"/>
  <c r="M16" i="10"/>
  <c r="AD4" i="9"/>
  <c r="AD16" i="9"/>
  <c r="J4" i="9"/>
  <c r="J16" i="9"/>
  <c r="I13" i="7"/>
  <c r="I17" i="7"/>
  <c r="AC17" i="7"/>
  <c r="AC13" i="7"/>
  <c r="X4" i="8"/>
  <c r="X16" i="8"/>
  <c r="Z4" i="10"/>
  <c r="Z16" i="10"/>
  <c r="C4" i="8"/>
  <c r="C16" i="8"/>
  <c r="Z4" i="7"/>
  <c r="Z16" i="7"/>
  <c r="Q4" i="9"/>
  <c r="Q16" i="9"/>
  <c r="W4" i="10"/>
  <c r="W16" i="10"/>
  <c r="H4" i="9"/>
  <c r="H16" i="9"/>
  <c r="AA4" i="10"/>
  <c r="AA16" i="10"/>
  <c r="P4" i="8"/>
  <c r="P16" i="8"/>
  <c r="K4" i="8"/>
  <c r="K16" i="8"/>
  <c r="AC4" i="9"/>
  <c r="AC16" i="9"/>
  <c r="V4" i="8"/>
  <c r="V16" i="8"/>
  <c r="J4" i="8"/>
  <c r="J16" i="8"/>
  <c r="P4" i="7"/>
  <c r="P16" i="7"/>
  <c r="M4" i="8"/>
  <c r="M16" i="8"/>
  <c r="G4" i="9"/>
  <c r="G16" i="9"/>
  <c r="AE4" i="9"/>
  <c r="AE16" i="9"/>
  <c r="AB4" i="8"/>
  <c r="AB16" i="8"/>
  <c r="U4" i="10"/>
  <c r="U16" i="10"/>
  <c r="AB4" i="9"/>
  <c r="AB16" i="9"/>
  <c r="AF4" i="8"/>
  <c r="AF16" i="8"/>
  <c r="K13" i="7"/>
  <c r="N4" i="9"/>
  <c r="N16" i="9"/>
  <c r="S4" i="10"/>
  <c r="S16" i="10"/>
  <c r="R4" i="8"/>
  <c r="R16" i="8"/>
  <c r="AD4" i="10"/>
  <c r="AD16" i="10"/>
  <c r="G4" i="8"/>
  <c r="G16" i="8"/>
  <c r="Y4" i="9"/>
  <c r="Y16" i="9"/>
  <c r="AD4" i="8"/>
  <c r="AD16" i="8"/>
  <c r="L4" i="9"/>
  <c r="L16" i="9"/>
  <c r="AE4" i="10"/>
  <c r="AE16" i="10"/>
  <c r="S4" i="8"/>
  <c r="S16" i="8"/>
  <c r="H4" i="10"/>
  <c r="H16" i="10"/>
  <c r="Z4" i="8"/>
  <c r="Z16" i="8"/>
  <c r="T4" i="7"/>
  <c r="T16" i="7"/>
  <c r="Q4" i="8"/>
  <c r="Q16" i="8"/>
  <c r="K4" i="9"/>
  <c r="K16" i="9"/>
  <c r="J4" i="10"/>
  <c r="J16" i="10"/>
  <c r="R4" i="9"/>
  <c r="R16" i="9"/>
  <c r="Y4" i="10"/>
  <c r="Y16" i="10"/>
  <c r="AA13" i="7"/>
  <c r="V4" i="9"/>
  <c r="V16" i="9"/>
  <c r="N4" i="8"/>
  <c r="N16" i="8"/>
  <c r="W17" i="7"/>
  <c r="O4" i="8"/>
  <c r="O16" i="8"/>
  <c r="D4" i="10"/>
  <c r="D16" i="10"/>
  <c r="C13" i="7"/>
  <c r="X4" i="9"/>
  <c r="X16" i="9"/>
  <c r="J4" i="7"/>
  <c r="J16" i="7"/>
  <c r="AA4" i="8"/>
  <c r="AA16" i="8"/>
  <c r="P4" i="10"/>
  <c r="P16" i="10"/>
  <c r="Y13" i="7"/>
  <c r="Y17" i="7"/>
  <c r="S17" i="7"/>
  <c r="K17" i="17"/>
  <c r="K13" i="17"/>
  <c r="W13" i="17"/>
  <c r="W17" i="17"/>
  <c r="Z13" i="13"/>
  <c r="Z17" i="13"/>
  <c r="AF13" i="14"/>
  <c r="AA17" i="15"/>
  <c r="AA13" i="15"/>
  <c r="G13" i="16"/>
  <c r="G17" i="16"/>
  <c r="F17" i="16"/>
  <c r="F13" i="16"/>
  <c r="W13" i="15"/>
  <c r="W17" i="15"/>
  <c r="AA17" i="17"/>
  <c r="AA13" i="17"/>
  <c r="Z17" i="14"/>
  <c r="Z13" i="14"/>
  <c r="Y13" i="17"/>
  <c r="Y17" i="17"/>
  <c r="AB17" i="16"/>
  <c r="AB13" i="16"/>
  <c r="P17" i="15"/>
  <c r="P13" i="15"/>
  <c r="J13" i="17"/>
  <c r="J17" i="17"/>
  <c r="L17" i="13"/>
  <c r="L13" i="13"/>
  <c r="S13" i="14"/>
  <c r="S17" i="14"/>
  <c r="M17" i="15"/>
  <c r="M13" i="15"/>
  <c r="Y13" i="15"/>
  <c r="X13" i="15"/>
  <c r="X17" i="15"/>
  <c r="O13" i="16"/>
  <c r="O17" i="16"/>
  <c r="AA17" i="16"/>
  <c r="AA13" i="16"/>
  <c r="F17" i="14"/>
  <c r="F13" i="14"/>
  <c r="AE17" i="14"/>
  <c r="AE13" i="14"/>
  <c r="AD17" i="14"/>
  <c r="AD13" i="14"/>
  <c r="L13" i="15"/>
  <c r="L17" i="15"/>
  <c r="K13" i="15"/>
  <c r="K17" i="15"/>
  <c r="AA13" i="14"/>
  <c r="AA17" i="14"/>
  <c r="AE17" i="13"/>
  <c r="AE13" i="13"/>
  <c r="AG13" i="15"/>
  <c r="AB17" i="15"/>
  <c r="AB13" i="15"/>
  <c r="N13" i="16"/>
  <c r="N17" i="16"/>
  <c r="V17" i="17"/>
  <c r="V13" i="17"/>
  <c r="U13" i="17"/>
  <c r="U17" i="17"/>
  <c r="H17" i="11"/>
  <c r="H13" i="11"/>
  <c r="X13" i="13"/>
  <c r="X17" i="13"/>
  <c r="AB17" i="14"/>
  <c r="AB13" i="14"/>
  <c r="N17" i="14"/>
  <c r="N13" i="14"/>
  <c r="R13" i="13"/>
  <c r="R17" i="13"/>
  <c r="P13" i="16"/>
  <c r="T13" i="15"/>
  <c r="T17" i="15"/>
  <c r="AF17" i="15"/>
  <c r="AF13" i="15"/>
  <c r="I13" i="17"/>
  <c r="I17" i="17"/>
  <c r="K17" i="13"/>
  <c r="K13" i="13"/>
  <c r="V17" i="13"/>
  <c r="V13" i="13"/>
  <c r="P13" i="14"/>
  <c r="O13" i="14"/>
  <c r="O17" i="14"/>
  <c r="AF17" i="13"/>
  <c r="AF13" i="13"/>
  <c r="C13" i="10"/>
  <c r="C17" i="10"/>
  <c r="U13" i="15"/>
  <c r="G13" i="15"/>
  <c r="G17" i="15"/>
  <c r="J17" i="14"/>
  <c r="J13" i="14"/>
  <c r="S13" i="15"/>
  <c r="S17" i="15"/>
  <c r="Z17" i="16"/>
  <c r="Z13" i="16"/>
  <c r="AG17" i="17"/>
  <c r="AG13" i="17"/>
  <c r="T13" i="11"/>
  <c r="T17" i="11"/>
  <c r="W13" i="13"/>
  <c r="W17" i="13"/>
  <c r="S17" i="13"/>
  <c r="S13" i="13"/>
  <c r="Z13" i="17"/>
  <c r="Z17" i="17"/>
  <c r="V17" i="12"/>
  <c r="V13" i="12"/>
  <c r="H13" i="15"/>
  <c r="H17" i="15"/>
  <c r="L17" i="16"/>
  <c r="L13" i="16"/>
  <c r="J13" i="13"/>
  <c r="J17" i="13"/>
  <c r="H13" i="13"/>
  <c r="H17" i="13"/>
  <c r="T17" i="13"/>
  <c r="T13" i="13"/>
  <c r="M17" i="17"/>
  <c r="M13" i="17"/>
  <c r="G17" i="10"/>
  <c r="G13" i="10"/>
  <c r="W17" i="14"/>
  <c r="W13" i="14"/>
  <c r="AE13" i="15"/>
  <c r="AE17" i="15"/>
  <c r="G13" i="17"/>
  <c r="Z17" i="12"/>
  <c r="Z13" i="12"/>
  <c r="Q17" i="7"/>
  <c r="Q13" i="7"/>
  <c r="L17" i="14"/>
  <c r="L13" i="14"/>
  <c r="AB13" i="13"/>
  <c r="AB17" i="13"/>
  <c r="Q13" i="15"/>
  <c r="S17" i="17"/>
  <c r="S13" i="17"/>
  <c r="R17" i="17"/>
  <c r="R13" i="17"/>
  <c r="D17" i="9"/>
  <c r="D13" i="9"/>
  <c r="AC17" i="17"/>
  <c r="AC13" i="17"/>
  <c r="AD13" i="13"/>
  <c r="AD17" i="13"/>
  <c r="O13" i="13"/>
  <c r="O17" i="13"/>
  <c r="AA13" i="13"/>
  <c r="AA17" i="13"/>
  <c r="E13" i="15"/>
  <c r="C17" i="15"/>
  <c r="C13" i="15"/>
  <c r="K13" i="16"/>
  <c r="K17" i="16"/>
  <c r="F13" i="17"/>
  <c r="F17" i="17"/>
  <c r="E17" i="17"/>
  <c r="AD17" i="17"/>
  <c r="AD13" i="17"/>
  <c r="N17" i="17"/>
  <c r="N13" i="17"/>
  <c r="D13" i="16"/>
  <c r="P17" i="13"/>
  <c r="P13" i="13"/>
  <c r="X17" i="11"/>
  <c r="X13" i="11"/>
  <c r="N13" i="13"/>
  <c r="N17" i="13"/>
  <c r="AC17" i="15"/>
  <c r="AC13" i="15"/>
  <c r="W13" i="16"/>
  <c r="W17" i="16"/>
  <c r="V13" i="16"/>
  <c r="V17" i="16"/>
  <c r="Q17" i="17"/>
  <c r="Q13" i="17"/>
  <c r="AF13" i="16"/>
  <c r="AE13" i="16"/>
  <c r="AE17" i="16"/>
  <c r="O17" i="17"/>
  <c r="O13" i="17"/>
  <c r="D17" i="15"/>
  <c r="D13" i="15"/>
  <c r="F13" i="12"/>
  <c r="F17" i="12"/>
  <c r="G13" i="14"/>
  <c r="G17" i="14"/>
  <c r="O17" i="15"/>
  <c r="O13" i="15"/>
  <c r="J17" i="16"/>
  <c r="J13" i="16"/>
  <c r="S16" i="16"/>
  <c r="S4" i="16"/>
  <c r="R13" i="16"/>
  <c r="R17" i="16"/>
  <c r="I13" i="15"/>
  <c r="AD16" i="6"/>
  <c r="E4" i="7"/>
  <c r="Q4" i="7"/>
  <c r="AA4" i="7"/>
  <c r="K4" i="7"/>
  <c r="O4" i="7"/>
  <c r="M4" i="7"/>
  <c r="W4" i="7"/>
  <c r="G4" i="7"/>
  <c r="U4" i="7"/>
  <c r="Y4" i="7"/>
  <c r="I4" i="7"/>
  <c r="S4" i="7"/>
  <c r="C4" i="7"/>
  <c r="P16" i="6"/>
  <c r="X16" i="6"/>
  <c r="AF16" i="6"/>
  <c r="H16" i="6"/>
  <c r="F4" i="6"/>
  <c r="F16" i="6"/>
  <c r="R4" i="6"/>
  <c r="R16" i="6"/>
  <c r="AG4" i="6"/>
  <c r="AG16" i="6"/>
  <c r="Q4" i="6"/>
  <c r="Q16" i="6"/>
  <c r="G4" i="6"/>
  <c r="G16" i="6"/>
  <c r="AB4" i="6"/>
  <c r="AB16" i="6"/>
  <c r="AA4" i="6"/>
  <c r="AA16" i="6"/>
  <c r="V4" i="6"/>
  <c r="V16" i="6"/>
  <c r="U4" i="6"/>
  <c r="U16" i="6"/>
  <c r="E4" i="6"/>
  <c r="E16" i="6"/>
  <c r="O4" i="6"/>
  <c r="O16" i="6"/>
  <c r="D4" i="6"/>
  <c r="D16" i="6"/>
  <c r="N4" i="6"/>
  <c r="N16" i="6"/>
  <c r="AC4" i="6"/>
  <c r="AC16" i="6"/>
  <c r="M4" i="6"/>
  <c r="M16" i="6"/>
  <c r="AE4" i="6"/>
  <c r="AE16" i="6"/>
  <c r="S4" i="6"/>
  <c r="S16" i="6"/>
  <c r="T4" i="6"/>
  <c r="T16" i="6"/>
  <c r="K4" i="6"/>
  <c r="K16" i="6"/>
  <c r="Z4" i="6"/>
  <c r="Z16" i="6"/>
  <c r="J4" i="6"/>
  <c r="J16" i="6"/>
  <c r="Y4" i="6"/>
  <c r="Y16" i="6"/>
  <c r="I4" i="6"/>
  <c r="I16" i="6"/>
  <c r="W4" i="6"/>
  <c r="W16" i="6"/>
  <c r="L4" i="6"/>
  <c r="L16" i="6"/>
  <c r="C6" i="5"/>
  <c r="O6" i="5" s="1"/>
  <c r="C7" i="5"/>
  <c r="O7" i="5" s="1"/>
  <c r="C8" i="5"/>
  <c r="O8" i="5" s="1"/>
  <c r="C9" i="5"/>
  <c r="O9" i="5" s="1"/>
  <c r="C10" i="5"/>
  <c r="O10" i="5" s="1"/>
  <c r="C5" i="5"/>
  <c r="O5" i="5" s="1"/>
  <c r="O22" i="5"/>
  <c r="O21" i="5"/>
  <c r="O31" i="5"/>
  <c r="O20" i="5"/>
  <c r="O19" i="5"/>
  <c r="O28" i="5"/>
  <c r="O18" i="5"/>
  <c r="O16" i="5"/>
  <c r="O17" i="5"/>
  <c r="O32" i="5"/>
  <c r="O30" i="5"/>
  <c r="O29" i="5"/>
  <c r="O33" i="5"/>
  <c r="O34" i="5"/>
  <c r="D17" i="13" l="1"/>
  <c r="AM18" i="13"/>
  <c r="AL26" i="13"/>
  <c r="AL24" i="12"/>
  <c r="D17" i="12"/>
  <c r="AL31" i="16"/>
  <c r="V17" i="14"/>
  <c r="AM21" i="14"/>
  <c r="AM20" i="11"/>
  <c r="AM21" i="11"/>
  <c r="AM25" i="11"/>
  <c r="AM18" i="11"/>
  <c r="AM23" i="11"/>
  <c r="AM26" i="11"/>
  <c r="AM19" i="11"/>
  <c r="AM24" i="11"/>
  <c r="AM22" i="11"/>
  <c r="AM31" i="11"/>
  <c r="V13" i="14"/>
  <c r="AE17" i="17"/>
  <c r="AL22" i="17"/>
  <c r="E13" i="14"/>
  <c r="D13" i="12"/>
  <c r="D13" i="11"/>
  <c r="D13" i="13"/>
  <c r="R17" i="14"/>
  <c r="AD17" i="6"/>
  <c r="R13" i="14"/>
  <c r="G17" i="17"/>
  <c r="T13" i="14"/>
  <c r="AL20" i="17"/>
  <c r="K13" i="14"/>
  <c r="J13" i="12"/>
  <c r="AL19" i="15"/>
  <c r="G13" i="13"/>
  <c r="G17" i="13"/>
  <c r="D17" i="11"/>
  <c r="K17" i="14"/>
  <c r="AL18" i="17"/>
  <c r="AD13" i="16"/>
  <c r="AD17" i="16"/>
  <c r="AD13" i="6"/>
  <c r="AE13" i="17"/>
  <c r="J17" i="12"/>
  <c r="AL22" i="13"/>
  <c r="AL26" i="17"/>
  <c r="AL24" i="17"/>
  <c r="F13" i="15"/>
  <c r="AL22" i="15"/>
  <c r="AL24" i="15"/>
  <c r="AL20" i="15"/>
  <c r="F17" i="15"/>
  <c r="AL26" i="15"/>
  <c r="AD13" i="15"/>
  <c r="AD17" i="15"/>
  <c r="I13" i="16"/>
  <c r="I17" i="16"/>
  <c r="J13" i="7"/>
  <c r="J17" i="7"/>
  <c r="Y17" i="9"/>
  <c r="Y13" i="9"/>
  <c r="AF17" i="8"/>
  <c r="AF13" i="8"/>
  <c r="G13" i="9"/>
  <c r="G17" i="9"/>
  <c r="AA13" i="10"/>
  <c r="AA17" i="10"/>
  <c r="L13" i="8"/>
  <c r="L17" i="8"/>
  <c r="I13" i="8"/>
  <c r="I17" i="8"/>
  <c r="O17" i="10"/>
  <c r="O13" i="10"/>
  <c r="AF13" i="10"/>
  <c r="AF17" i="10"/>
  <c r="F13" i="7"/>
  <c r="F17" i="7"/>
  <c r="X17" i="10"/>
  <c r="X13" i="10"/>
  <c r="W13" i="8"/>
  <c r="W17" i="8"/>
  <c r="AG13" i="10"/>
  <c r="AG17" i="10"/>
  <c r="X17" i="7"/>
  <c r="X13" i="7"/>
  <c r="D13" i="10"/>
  <c r="D17" i="10"/>
  <c r="Y13" i="10"/>
  <c r="Y17" i="10"/>
  <c r="Z13" i="8"/>
  <c r="Z17" i="8"/>
  <c r="C17" i="8"/>
  <c r="C13" i="8"/>
  <c r="E13" i="10"/>
  <c r="E17" i="10"/>
  <c r="X17" i="9"/>
  <c r="X13" i="9"/>
  <c r="H13" i="10"/>
  <c r="H17" i="10"/>
  <c r="G13" i="8"/>
  <c r="G17" i="8"/>
  <c r="M17" i="8"/>
  <c r="M13" i="8"/>
  <c r="H17" i="9"/>
  <c r="H13" i="9"/>
  <c r="H13" i="8"/>
  <c r="H17" i="8"/>
  <c r="L13" i="7"/>
  <c r="L17" i="7"/>
  <c r="AB17" i="10"/>
  <c r="AB13" i="10"/>
  <c r="W17" i="9"/>
  <c r="W13" i="9"/>
  <c r="M17" i="9"/>
  <c r="M13" i="9"/>
  <c r="E17" i="9"/>
  <c r="E13" i="9"/>
  <c r="Z13" i="9"/>
  <c r="Z17" i="9"/>
  <c r="O17" i="8"/>
  <c r="O13" i="8"/>
  <c r="R13" i="9"/>
  <c r="R17" i="9"/>
  <c r="AB17" i="9"/>
  <c r="AB13" i="9"/>
  <c r="Z13" i="10"/>
  <c r="Z17" i="10"/>
  <c r="R13" i="10"/>
  <c r="R17" i="10"/>
  <c r="S17" i="8"/>
  <c r="S13" i="8"/>
  <c r="AD13" i="10"/>
  <c r="AD17" i="10"/>
  <c r="P17" i="7"/>
  <c r="P13" i="7"/>
  <c r="V13" i="8"/>
  <c r="V17" i="8"/>
  <c r="W17" i="10"/>
  <c r="W13" i="10"/>
  <c r="I17" i="9"/>
  <c r="I13" i="9"/>
  <c r="V13" i="7"/>
  <c r="V17" i="7"/>
  <c r="N17" i="7"/>
  <c r="N13" i="7"/>
  <c r="S13" i="16"/>
  <c r="S17" i="16"/>
  <c r="J13" i="10"/>
  <c r="J17" i="10"/>
  <c r="X13" i="8"/>
  <c r="X17" i="8"/>
  <c r="F13" i="9"/>
  <c r="F17" i="9"/>
  <c r="S17" i="9"/>
  <c r="S13" i="9"/>
  <c r="AC17" i="8"/>
  <c r="AC13" i="8"/>
  <c r="AE13" i="10"/>
  <c r="AE17" i="10"/>
  <c r="R13" i="8"/>
  <c r="R17" i="8"/>
  <c r="S17" i="10"/>
  <c r="S13" i="10"/>
  <c r="U13" i="10"/>
  <c r="U17" i="10"/>
  <c r="J13" i="8"/>
  <c r="J17" i="8"/>
  <c r="AC17" i="9"/>
  <c r="AC13" i="9"/>
  <c r="Q17" i="9"/>
  <c r="Q13" i="9"/>
  <c r="J13" i="9"/>
  <c r="J17" i="9"/>
  <c r="P17" i="9"/>
  <c r="P13" i="9"/>
  <c r="R13" i="7"/>
  <c r="R17" i="7"/>
  <c r="K13" i="10"/>
  <c r="K17" i="10"/>
  <c r="AF17" i="9"/>
  <c r="AF13" i="9"/>
  <c r="N13" i="10"/>
  <c r="N17" i="10"/>
  <c r="N13" i="8"/>
  <c r="N17" i="8"/>
  <c r="K13" i="9"/>
  <c r="K17" i="9"/>
  <c r="I13" i="10"/>
  <c r="I17" i="10"/>
  <c r="C17" i="9"/>
  <c r="C13" i="9"/>
  <c r="Y13" i="8"/>
  <c r="Y17" i="8"/>
  <c r="E13" i="8"/>
  <c r="E17" i="8"/>
  <c r="P17" i="10"/>
  <c r="P13" i="10"/>
  <c r="L17" i="9"/>
  <c r="L13" i="9"/>
  <c r="N13" i="9"/>
  <c r="N17" i="9"/>
  <c r="AB17" i="8"/>
  <c r="AB13" i="8"/>
  <c r="K13" i="8"/>
  <c r="K17" i="8"/>
  <c r="Z13" i="7"/>
  <c r="Z17" i="7"/>
  <c r="AD13" i="9"/>
  <c r="AD17" i="9"/>
  <c r="AA13" i="9"/>
  <c r="AA17" i="9"/>
  <c r="U17" i="9"/>
  <c r="U13" i="9"/>
  <c r="V13" i="10"/>
  <c r="V17" i="10"/>
  <c r="T17" i="10"/>
  <c r="T13" i="10"/>
  <c r="Q17" i="10"/>
  <c r="Q13" i="10"/>
  <c r="O17" i="9"/>
  <c r="O13" i="9"/>
  <c r="V13" i="9"/>
  <c r="V17" i="9"/>
  <c r="Q13" i="8"/>
  <c r="Q17" i="8"/>
  <c r="AC17" i="10"/>
  <c r="AC13" i="10"/>
  <c r="AB17" i="7"/>
  <c r="AB13" i="7"/>
  <c r="H13" i="7"/>
  <c r="H17" i="7"/>
  <c r="AA17" i="8"/>
  <c r="AA13" i="8"/>
  <c r="AD13" i="8"/>
  <c r="AD17" i="8"/>
  <c r="AE13" i="9"/>
  <c r="AE17" i="9"/>
  <c r="P17" i="8"/>
  <c r="P13" i="8"/>
  <c r="M17" i="10"/>
  <c r="M13" i="10"/>
  <c r="AG13" i="8"/>
  <c r="AG17" i="8"/>
  <c r="AD17" i="7"/>
  <c r="AD13" i="7"/>
  <c r="T17" i="9"/>
  <c r="T13" i="9"/>
  <c r="AE17" i="8"/>
  <c r="AE13" i="8"/>
  <c r="L13" i="10"/>
  <c r="L17" i="10"/>
  <c r="D17" i="8"/>
  <c r="D13" i="8"/>
  <c r="U13" i="8"/>
  <c r="U17" i="8"/>
  <c r="T17" i="7"/>
  <c r="T13" i="7"/>
  <c r="T13" i="8"/>
  <c r="T17" i="8"/>
  <c r="D17" i="7"/>
  <c r="D13" i="7"/>
  <c r="P13" i="6"/>
  <c r="P17" i="6"/>
  <c r="Y17" i="6"/>
  <c r="Y13" i="6"/>
  <c r="T17" i="6"/>
  <c r="T13" i="6"/>
  <c r="D17" i="6"/>
  <c r="D13" i="6"/>
  <c r="AB17" i="6"/>
  <c r="AB13" i="6"/>
  <c r="H17" i="6"/>
  <c r="H13" i="6"/>
  <c r="W17" i="6"/>
  <c r="W13" i="6"/>
  <c r="Z17" i="6"/>
  <c r="Z13" i="6"/>
  <c r="AE17" i="6"/>
  <c r="AE13" i="6"/>
  <c r="AC17" i="6"/>
  <c r="AC13" i="6"/>
  <c r="E17" i="6"/>
  <c r="E13" i="6"/>
  <c r="V17" i="6"/>
  <c r="V13" i="6"/>
  <c r="Q17" i="6"/>
  <c r="Q13" i="6"/>
  <c r="R17" i="6"/>
  <c r="R13" i="6"/>
  <c r="C17" i="6"/>
  <c r="C13" i="6"/>
  <c r="L17" i="6"/>
  <c r="L13" i="6"/>
  <c r="I17" i="6"/>
  <c r="I13" i="6"/>
  <c r="J17" i="6"/>
  <c r="J13" i="6"/>
  <c r="K17" i="6"/>
  <c r="K13" i="6"/>
  <c r="S17" i="6"/>
  <c r="S13" i="6"/>
  <c r="M17" i="6"/>
  <c r="M13" i="6"/>
  <c r="N17" i="6"/>
  <c r="N13" i="6"/>
  <c r="O17" i="6"/>
  <c r="O13" i="6"/>
  <c r="U17" i="6"/>
  <c r="U13" i="6"/>
  <c r="AA17" i="6"/>
  <c r="AA13" i="6"/>
  <c r="G17" i="6"/>
  <c r="G13" i="6"/>
  <c r="AG17" i="6"/>
  <c r="AG13" i="6"/>
  <c r="F17" i="6"/>
  <c r="F13" i="6"/>
  <c r="AF17" i="6"/>
  <c r="AF13" i="6"/>
  <c r="X17" i="6"/>
  <c r="X13" i="6"/>
  <c r="AM25" i="14" l="1"/>
  <c r="AM18" i="14"/>
  <c r="AM19" i="14"/>
  <c r="AM20" i="14"/>
  <c r="AM22" i="14"/>
  <c r="AM31" i="14"/>
  <c r="AM24" i="14"/>
  <c r="AM26" i="14"/>
  <c r="AN26" i="14" s="1"/>
  <c r="AM23" i="14"/>
  <c r="AM25" i="13"/>
  <c r="AM31" i="13"/>
  <c r="AM23" i="13"/>
  <c r="AM19" i="13"/>
  <c r="AM21" i="13"/>
  <c r="AM28" i="13"/>
  <c r="AM26" i="13"/>
  <c r="AN26" i="13" s="1"/>
  <c r="AM24" i="13"/>
  <c r="AM22" i="13"/>
  <c r="AN22" i="13" s="1"/>
  <c r="AM20" i="13"/>
  <c r="AL31" i="12"/>
  <c r="AM27" i="11"/>
  <c r="AM25" i="10"/>
  <c r="AM18" i="10"/>
  <c r="AM23" i="10"/>
  <c r="AM21" i="10"/>
  <c r="AM22" i="10"/>
  <c r="AM24" i="10"/>
  <c r="AM31" i="10"/>
  <c r="AM26" i="10"/>
  <c r="AM20" i="10"/>
  <c r="AM25" i="9"/>
  <c r="AM22" i="9"/>
  <c r="AM24" i="9"/>
  <c r="AM26" i="9"/>
  <c r="AM21" i="9"/>
  <c r="AM20" i="9"/>
  <c r="AM18" i="9"/>
  <c r="AM23" i="9"/>
  <c r="AM31" i="9"/>
  <c r="AM23" i="8"/>
  <c r="AM20" i="8"/>
  <c r="AM18" i="8"/>
  <c r="AM31" i="8"/>
  <c r="AM25" i="8"/>
  <c r="AM26" i="8"/>
  <c r="AM22" i="8"/>
  <c r="AM21" i="8"/>
  <c r="AM24" i="8"/>
  <c r="AM25" i="7"/>
  <c r="AM22" i="7"/>
  <c r="AM21" i="7"/>
  <c r="AM20" i="7"/>
  <c r="AM24" i="7"/>
  <c r="AM23" i="7"/>
  <c r="AM26" i="7"/>
  <c r="AM18" i="7"/>
  <c r="AM31" i="7"/>
  <c r="AM25" i="6"/>
  <c r="AM20" i="6"/>
  <c r="AM31" i="6"/>
  <c r="AM21" i="6"/>
  <c r="AM23" i="6"/>
  <c r="AN23" i="6" s="1"/>
  <c r="AM26" i="6"/>
  <c r="AM22" i="6"/>
  <c r="AM24" i="6"/>
  <c r="AM18" i="6"/>
  <c r="AM21" i="12"/>
  <c r="AM26" i="12"/>
  <c r="AM22" i="12"/>
  <c r="AM25" i="12"/>
  <c r="AM19" i="12"/>
  <c r="AM20" i="12"/>
  <c r="AM18" i="12"/>
  <c r="AM24" i="12"/>
  <c r="AN24" i="12" s="1"/>
  <c r="AM27" i="12"/>
  <c r="AM23" i="12"/>
  <c r="AM31" i="12"/>
  <c r="AN31" i="12" s="1"/>
  <c r="AM27" i="13"/>
  <c r="AM27" i="14"/>
  <c r="AM19" i="6"/>
  <c r="AL26" i="14"/>
  <c r="AL20" i="14"/>
  <c r="AL22" i="14"/>
  <c r="AM28" i="11"/>
  <c r="AL21" i="7"/>
  <c r="AL26" i="11"/>
  <c r="AN26" i="11" s="1"/>
  <c r="AL23" i="12"/>
  <c r="AL26" i="12"/>
  <c r="AL18" i="12"/>
  <c r="AL26" i="7"/>
  <c r="AL23" i="7"/>
  <c r="AL25" i="7"/>
  <c r="AL31" i="6"/>
  <c r="AN20" i="17"/>
  <c r="AN24" i="17"/>
  <c r="AO24" i="17" s="1"/>
  <c r="AN22" i="17"/>
  <c r="AO22" i="17" s="1"/>
  <c r="AN31" i="16"/>
  <c r="AL25" i="16"/>
  <c r="AN25" i="16" s="1"/>
  <c r="AL21" i="16"/>
  <c r="AL23" i="16"/>
  <c r="AN23" i="16" s="1"/>
  <c r="AL18" i="6"/>
  <c r="AL23" i="6"/>
  <c r="AL21" i="6"/>
  <c r="AN19" i="15"/>
  <c r="AL25" i="6"/>
  <c r="AL26" i="6"/>
  <c r="AL18" i="13"/>
  <c r="AL24" i="6"/>
  <c r="AL20" i="6"/>
  <c r="AL22" i="6"/>
  <c r="AL20" i="7"/>
  <c r="AL20" i="8"/>
  <c r="AL18" i="8"/>
  <c r="AL26" i="8"/>
  <c r="AL31" i="10"/>
  <c r="AL19" i="11"/>
  <c r="AN19" i="11" s="1"/>
  <c r="AL21" i="11"/>
  <c r="AL25" i="14"/>
  <c r="AL23" i="14"/>
  <c r="AL21" i="17"/>
  <c r="AN21" i="17" s="1"/>
  <c r="AO21" i="17" s="1"/>
  <c r="AL18" i="7"/>
  <c r="AL19" i="17"/>
  <c r="AN19" i="17" s="1"/>
  <c r="AL31" i="13"/>
  <c r="AL31" i="14"/>
  <c r="AL24" i="11"/>
  <c r="AN24" i="11" s="1"/>
  <c r="AL21" i="13"/>
  <c r="AL24" i="7"/>
  <c r="AL23" i="13"/>
  <c r="AL25" i="15"/>
  <c r="AN25" i="15" s="1"/>
  <c r="AL24" i="14"/>
  <c r="AL25" i="17"/>
  <c r="AL23" i="17"/>
  <c r="AN23" i="17" s="1"/>
  <c r="AO23" i="17" s="1"/>
  <c r="AN20" i="15"/>
  <c r="AL21" i="12"/>
  <c r="AL31" i="15"/>
  <c r="AN31" i="15" s="1"/>
  <c r="AL24" i="13"/>
  <c r="AL22" i="12"/>
  <c r="AL24" i="16"/>
  <c r="AN24" i="16" s="1"/>
  <c r="AL18" i="15"/>
  <c r="AN18" i="15" s="1"/>
  <c r="AO18" i="15" s="1"/>
  <c r="AL24" i="8"/>
  <c r="AL20" i="10"/>
  <c r="AL25" i="11"/>
  <c r="AL20" i="16"/>
  <c r="AN20" i="16" s="1"/>
  <c r="AL31" i="17"/>
  <c r="AN31" i="17" s="1"/>
  <c r="AL26" i="16"/>
  <c r="AL20" i="13"/>
  <c r="AL25" i="12"/>
  <c r="AL23" i="8"/>
  <c r="AL21" i="8"/>
  <c r="AL22" i="8"/>
  <c r="AL22" i="10"/>
  <c r="AL26" i="10"/>
  <c r="AL18" i="10"/>
  <c r="AL22" i="11"/>
  <c r="AL21" i="14"/>
  <c r="AN21" i="14" s="1"/>
  <c r="AL19" i="13"/>
  <c r="AL21" i="10"/>
  <c r="AL21" i="15"/>
  <c r="AN21" i="15" s="1"/>
  <c r="AL22" i="7"/>
  <c r="AN24" i="15"/>
  <c r="AL18" i="11"/>
  <c r="AN18" i="11" s="1"/>
  <c r="AO18" i="11" s="1"/>
  <c r="AL23" i="11"/>
  <c r="AN23" i="11" s="1"/>
  <c r="AL19" i="14"/>
  <c r="AL31" i="7"/>
  <c r="AN18" i="17"/>
  <c r="AL23" i="10"/>
  <c r="AL19" i="12"/>
  <c r="AL25" i="13"/>
  <c r="AL23" i="15"/>
  <c r="AN23" i="15" s="1"/>
  <c r="AN26" i="17"/>
  <c r="AL18" i="14"/>
  <c r="AN26" i="15"/>
  <c r="AN22" i="15"/>
  <c r="AL18" i="16"/>
  <c r="AL20" i="12"/>
  <c r="AL25" i="8"/>
  <c r="AL31" i="8"/>
  <c r="AL24" i="10"/>
  <c r="AL25" i="10"/>
  <c r="AL20" i="11"/>
  <c r="AL31" i="11"/>
  <c r="AN31" i="11" s="1"/>
  <c r="AL22" i="16"/>
  <c r="AN22" i="16" s="1"/>
  <c r="AL24" i="9"/>
  <c r="AL26" i="9"/>
  <c r="AL23" i="9"/>
  <c r="AL22" i="9"/>
  <c r="AL21" i="9"/>
  <c r="AL18" i="9"/>
  <c r="AL25" i="9"/>
  <c r="AL31" i="9"/>
  <c r="AL20" i="9"/>
  <c r="AO26" i="17" l="1"/>
  <c r="AM19" i="7"/>
  <c r="AN25" i="14"/>
  <c r="AN22" i="14"/>
  <c r="AN18" i="14"/>
  <c r="AN31" i="14"/>
  <c r="AO31" i="14" s="1"/>
  <c r="AN20" i="14"/>
  <c r="AN23" i="14"/>
  <c r="AN24" i="14"/>
  <c r="AM28" i="14"/>
  <c r="AN24" i="13"/>
  <c r="AN25" i="13"/>
  <c r="AN23" i="13"/>
  <c r="AN21" i="13"/>
  <c r="AN20" i="13"/>
  <c r="AN31" i="13"/>
  <c r="AN19" i="12"/>
  <c r="AO19" i="12" s="1"/>
  <c r="AM28" i="12"/>
  <c r="AN18" i="12"/>
  <c r="AO18" i="12" s="1"/>
  <c r="AN21" i="12"/>
  <c r="AO21" i="12" s="1"/>
  <c r="AN26" i="12"/>
  <c r="AO26" i="12" s="1"/>
  <c r="AN20" i="12"/>
  <c r="AO20" i="12" s="1"/>
  <c r="AM19" i="10"/>
  <c r="AN23" i="10"/>
  <c r="AN31" i="10"/>
  <c r="AN21" i="10"/>
  <c r="AM27" i="10"/>
  <c r="AM28" i="10"/>
  <c r="AN22" i="9"/>
  <c r="AM27" i="9"/>
  <c r="AM19" i="9"/>
  <c r="AM28" i="9"/>
  <c r="AM27" i="8"/>
  <c r="AM28" i="8"/>
  <c r="AM19" i="8"/>
  <c r="AM28" i="7"/>
  <c r="AN25" i="7"/>
  <c r="AN18" i="7"/>
  <c r="AO18" i="7" s="1"/>
  <c r="AN23" i="7"/>
  <c r="AN20" i="7"/>
  <c r="AN21" i="7"/>
  <c r="AN26" i="7"/>
  <c r="AL19" i="7"/>
  <c r="AM27" i="7"/>
  <c r="AN20" i="6"/>
  <c r="AN26" i="6"/>
  <c r="AM27" i="6"/>
  <c r="AM28" i="6"/>
  <c r="AN23" i="12"/>
  <c r="AO23" i="12" s="1"/>
  <c r="AO18" i="17"/>
  <c r="AO19" i="17"/>
  <c r="N40" i="5" s="1"/>
  <c r="AO20" i="17"/>
  <c r="N42" i="5"/>
  <c r="N47" i="5"/>
  <c r="AO18" i="14"/>
  <c r="AO20" i="14"/>
  <c r="AN31" i="7"/>
  <c r="AN31" i="6"/>
  <c r="AN21" i="6"/>
  <c r="AN21" i="16"/>
  <c r="AN19" i="14"/>
  <c r="AN19" i="13"/>
  <c r="AN22" i="12"/>
  <c r="AN25" i="12"/>
  <c r="AN22" i="7"/>
  <c r="AN24" i="7"/>
  <c r="AN22" i="6"/>
  <c r="AL19" i="9"/>
  <c r="AN25" i="17"/>
  <c r="AO25" i="17" s="1"/>
  <c r="AN26" i="16"/>
  <c r="AN18" i="16"/>
  <c r="AO18" i="16" s="1"/>
  <c r="AL19" i="16"/>
  <c r="AN19" i="16" s="1"/>
  <c r="AN25" i="6"/>
  <c r="AN24" i="6"/>
  <c r="AN18" i="6"/>
  <c r="AN18" i="13"/>
  <c r="AO18" i="13" s="1"/>
  <c r="AL19" i="10"/>
  <c r="AL19" i="8"/>
  <c r="AL19" i="6"/>
  <c r="N43" i="5"/>
  <c r="AO21" i="15"/>
  <c r="L42" i="5" s="1"/>
  <c r="AO20" i="15"/>
  <c r="AO22" i="15"/>
  <c r="L43" i="5" s="1"/>
  <c r="AO24" i="15"/>
  <c r="L45" i="5" s="1"/>
  <c r="AO19" i="15"/>
  <c r="L40" i="5" s="1"/>
  <c r="AO26" i="15"/>
  <c r="L47" i="5" s="1"/>
  <c r="AO23" i="15"/>
  <c r="L44" i="5" s="1"/>
  <c r="AN21" i="11"/>
  <c r="AO21" i="11" s="1"/>
  <c r="H42" i="5" s="1"/>
  <c r="AO31" i="11"/>
  <c r="AO26" i="11"/>
  <c r="H47" i="5" s="1"/>
  <c r="AN18" i="10"/>
  <c r="AO18" i="10" s="1"/>
  <c r="AP18" i="10" s="1"/>
  <c r="AP18" i="11" s="1"/>
  <c r="AN25" i="9"/>
  <c r="AN21" i="9"/>
  <c r="AN23" i="9"/>
  <c r="AN23" i="8"/>
  <c r="AN24" i="8"/>
  <c r="AN18" i="8"/>
  <c r="AO18" i="8" s="1"/>
  <c r="AN26" i="8"/>
  <c r="AN25" i="8"/>
  <c r="N45" i="5"/>
  <c r="AN20" i="11"/>
  <c r="AO20" i="11" s="1"/>
  <c r="AN24" i="10"/>
  <c r="AO31" i="15"/>
  <c r="AN31" i="9"/>
  <c r="AN25" i="10"/>
  <c r="AN31" i="8"/>
  <c r="AN22" i="11"/>
  <c r="AO22" i="11" s="1"/>
  <c r="H43" i="5" s="1"/>
  <c r="AN26" i="10"/>
  <c r="AN22" i="8"/>
  <c r="AN20" i="10"/>
  <c r="N44" i="5"/>
  <c r="AO25" i="15"/>
  <c r="L46" i="5" s="1"/>
  <c r="AO24" i="11"/>
  <c r="H45" i="5" s="1"/>
  <c r="AN20" i="8"/>
  <c r="AO23" i="11"/>
  <c r="H44" i="5" s="1"/>
  <c r="AN22" i="10"/>
  <c r="AN21" i="8"/>
  <c r="AN25" i="11"/>
  <c r="AO25" i="11" s="1"/>
  <c r="H46" i="5" s="1"/>
  <c r="AO31" i="17"/>
  <c r="AO19" i="11"/>
  <c r="H40" i="5" s="1"/>
  <c r="AN20" i="9"/>
  <c r="AN26" i="9"/>
  <c r="AN18" i="9"/>
  <c r="AN24" i="9"/>
  <c r="AP18" i="12" l="1"/>
  <c r="AP18" i="13" s="1"/>
  <c r="AO24" i="12"/>
  <c r="AO22" i="12"/>
  <c r="AO31" i="12"/>
  <c r="AO25" i="12"/>
  <c r="AO23" i="14"/>
  <c r="K44" i="5" s="1"/>
  <c r="AO24" i="14"/>
  <c r="K45" i="5" s="1"/>
  <c r="AO19" i="14"/>
  <c r="K40" i="5" s="1"/>
  <c r="AO22" i="14"/>
  <c r="K43" i="5" s="1"/>
  <c r="AO25" i="14"/>
  <c r="K46" i="5" s="1"/>
  <c r="AO21" i="14"/>
  <c r="K42" i="5" s="1"/>
  <c r="AO26" i="14"/>
  <c r="K47" i="5" s="1"/>
  <c r="AO24" i="9"/>
  <c r="F45" i="5" s="1"/>
  <c r="AO23" i="9"/>
  <c r="F44" i="5" s="1"/>
  <c r="AO22" i="9"/>
  <c r="AO21" i="9"/>
  <c r="AO26" i="9"/>
  <c r="AO25" i="9"/>
  <c r="F46" i="5" s="1"/>
  <c r="AN19" i="7"/>
  <c r="AO19" i="7" s="1"/>
  <c r="D40" i="5" s="1"/>
  <c r="AP18" i="14"/>
  <c r="AP18" i="15" s="1"/>
  <c r="AP18" i="16" s="1"/>
  <c r="AP18" i="17" s="1"/>
  <c r="AN19" i="10"/>
  <c r="AO19" i="10" s="1"/>
  <c r="AN19" i="8"/>
  <c r="AO19" i="8" s="1"/>
  <c r="E40" i="5" s="1"/>
  <c r="I44" i="5"/>
  <c r="I42" i="5"/>
  <c r="I45" i="5"/>
  <c r="I47" i="5"/>
  <c r="I46" i="5"/>
  <c r="I40" i="5"/>
  <c r="I43" i="5"/>
  <c r="N46" i="5"/>
  <c r="AO18" i="9"/>
  <c r="AO20" i="9"/>
  <c r="F42" i="5"/>
  <c r="F47" i="5"/>
  <c r="F43" i="5"/>
  <c r="AO21" i="13"/>
  <c r="J42" i="5" s="1"/>
  <c r="AN19" i="9"/>
  <c r="AO19" i="9" s="1"/>
  <c r="F40" i="5" s="1"/>
  <c r="AO22" i="7"/>
  <c r="D43" i="5" s="1"/>
  <c r="AO25" i="13"/>
  <c r="J46" i="5" s="1"/>
  <c r="AO24" i="7"/>
  <c r="D45" i="5" s="1"/>
  <c r="AO31" i="7"/>
  <c r="AO23" i="16"/>
  <c r="M44" i="5" s="1"/>
  <c r="AO25" i="16"/>
  <c r="M46" i="5" s="1"/>
  <c r="AO24" i="16"/>
  <c r="M45" i="5" s="1"/>
  <c r="AO21" i="16"/>
  <c r="M42" i="5" s="1"/>
  <c r="AO31" i="16"/>
  <c r="AO26" i="16"/>
  <c r="M47" i="5" s="1"/>
  <c r="AO22" i="16"/>
  <c r="M43" i="5" s="1"/>
  <c r="AO20" i="16"/>
  <c r="AO19" i="16"/>
  <c r="M40" i="5" s="1"/>
  <c r="AO22" i="13"/>
  <c r="J43" i="5" s="1"/>
  <c r="AO23" i="13"/>
  <c r="J44" i="5" s="1"/>
  <c r="AO19" i="13"/>
  <c r="J40" i="5" s="1"/>
  <c r="AO20" i="13"/>
  <c r="AO31" i="13"/>
  <c r="AO25" i="7"/>
  <c r="D46" i="5" s="1"/>
  <c r="AO21" i="7"/>
  <c r="D42" i="5" s="1"/>
  <c r="AO20" i="7"/>
  <c r="AO23" i="7"/>
  <c r="D44" i="5" s="1"/>
  <c r="AO26" i="7"/>
  <c r="D47" i="5" s="1"/>
  <c r="AO22" i="6"/>
  <c r="AO24" i="6"/>
  <c r="AO25" i="6"/>
  <c r="AO23" i="6"/>
  <c r="AO18" i="6"/>
  <c r="AP18" i="6" s="1"/>
  <c r="AP18" i="7" s="1"/>
  <c r="AP18" i="8" s="1"/>
  <c r="AO31" i="6"/>
  <c r="AP31" i="6" s="1"/>
  <c r="AP31" i="7" s="1"/>
  <c r="AO26" i="10"/>
  <c r="AO20" i="6"/>
  <c r="AP20" i="6" s="1"/>
  <c r="AO21" i="6"/>
  <c r="AO26" i="6"/>
  <c r="AO24" i="13"/>
  <c r="J45" i="5" s="1"/>
  <c r="AO26" i="13"/>
  <c r="J47" i="5" s="1"/>
  <c r="AN19" i="6"/>
  <c r="AO19" i="6" s="1"/>
  <c r="AO31" i="10"/>
  <c r="AP31" i="10" s="1"/>
  <c r="AP31" i="11" s="1"/>
  <c r="AO23" i="10"/>
  <c r="AO20" i="10"/>
  <c r="AP20" i="10" s="1"/>
  <c r="AP20" i="11" s="1"/>
  <c r="AP20" i="12" s="1"/>
  <c r="AO22" i="10"/>
  <c r="AO25" i="10"/>
  <c r="AO21" i="10"/>
  <c r="AO24" i="10"/>
  <c r="AO20" i="8"/>
  <c r="AO24" i="8"/>
  <c r="E45" i="5" s="1"/>
  <c r="AO21" i="8"/>
  <c r="E42" i="5" s="1"/>
  <c r="AO25" i="8"/>
  <c r="E46" i="5" s="1"/>
  <c r="AO31" i="8"/>
  <c r="AO23" i="8"/>
  <c r="E44" i="5" s="1"/>
  <c r="AO22" i="8"/>
  <c r="E43" i="5" s="1"/>
  <c r="AO26" i="8"/>
  <c r="E47" i="5" s="1"/>
  <c r="AO31" i="9"/>
  <c r="AP31" i="12" l="1"/>
  <c r="AP31" i="13" s="1"/>
  <c r="AP31" i="14" s="1"/>
  <c r="AP31" i="15" s="1"/>
  <c r="AP31" i="16" s="1"/>
  <c r="AP31" i="17" s="1"/>
  <c r="AP31" i="8"/>
  <c r="AP20" i="13"/>
  <c r="AP20" i="14" s="1"/>
  <c r="AP20" i="15" s="1"/>
  <c r="AP20" i="16" s="1"/>
  <c r="AP20" i="17" s="1"/>
  <c r="G45" i="5"/>
  <c r="AP24" i="10"/>
  <c r="AP24" i="11" s="1"/>
  <c r="AP24" i="12" s="1"/>
  <c r="AP24" i="13" s="1"/>
  <c r="AP24" i="14" s="1"/>
  <c r="AP24" i="15" s="1"/>
  <c r="AP24" i="16" s="1"/>
  <c r="AP24" i="17" s="1"/>
  <c r="G47" i="5"/>
  <c r="AP26" i="10"/>
  <c r="AP26" i="11" s="1"/>
  <c r="AP26" i="12" s="1"/>
  <c r="AP26" i="13" s="1"/>
  <c r="AP26" i="14" s="1"/>
  <c r="AP26" i="15" s="1"/>
  <c r="AP26" i="16" s="1"/>
  <c r="AP26" i="17" s="1"/>
  <c r="G40" i="5"/>
  <c r="AP19" i="10"/>
  <c r="AP19" i="11" s="1"/>
  <c r="AP19" i="12" s="1"/>
  <c r="AP19" i="13" s="1"/>
  <c r="AP19" i="14" s="1"/>
  <c r="AP19" i="15" s="1"/>
  <c r="AP19" i="16" s="1"/>
  <c r="AP19" i="17" s="1"/>
  <c r="G44" i="5"/>
  <c r="AP23" i="10"/>
  <c r="AP23" i="11" s="1"/>
  <c r="AP23" i="12" s="1"/>
  <c r="AP23" i="13" s="1"/>
  <c r="AP23" i="14" s="1"/>
  <c r="AP23" i="15" s="1"/>
  <c r="AP23" i="16" s="1"/>
  <c r="AP23" i="17" s="1"/>
  <c r="G42" i="5"/>
  <c r="AP21" i="10"/>
  <c r="AP21" i="11" s="1"/>
  <c r="AP21" i="12" s="1"/>
  <c r="AP21" i="13" s="1"/>
  <c r="AP21" i="14" s="1"/>
  <c r="AP21" i="15" s="1"/>
  <c r="AP21" i="16" s="1"/>
  <c r="AP21" i="17" s="1"/>
  <c r="G46" i="5"/>
  <c r="AP25" i="10"/>
  <c r="AP25" i="11" s="1"/>
  <c r="AP25" i="12" s="1"/>
  <c r="AP25" i="13" s="1"/>
  <c r="AP25" i="14" s="1"/>
  <c r="AP25" i="15" s="1"/>
  <c r="AP25" i="16" s="1"/>
  <c r="AP25" i="17" s="1"/>
  <c r="G43" i="5"/>
  <c r="AP22" i="10"/>
  <c r="AP22" i="11" s="1"/>
  <c r="AP22" i="12" s="1"/>
  <c r="AP22" i="13" s="1"/>
  <c r="AP22" i="14" s="1"/>
  <c r="AP22" i="15" s="1"/>
  <c r="AP22" i="16" s="1"/>
  <c r="AP22" i="17" s="1"/>
  <c r="AP18" i="9"/>
  <c r="AP31" i="9"/>
  <c r="AP20" i="7"/>
  <c r="AP20" i="8" s="1"/>
  <c r="AP20" i="9" s="1"/>
  <c r="C42" i="5"/>
  <c r="AP21" i="6"/>
  <c r="AP21" i="7" s="1"/>
  <c r="AP21" i="8" s="1"/>
  <c r="AP21" i="9" s="1"/>
  <c r="C44" i="5"/>
  <c r="AP23" i="6"/>
  <c r="AP23" i="7" s="1"/>
  <c r="AP23" i="8" s="1"/>
  <c r="AP23" i="9" s="1"/>
  <c r="C46" i="5"/>
  <c r="AP25" i="6"/>
  <c r="AP25" i="7" s="1"/>
  <c r="AP25" i="8" s="1"/>
  <c r="AP25" i="9" s="1"/>
  <c r="C45" i="5"/>
  <c r="AP24" i="6"/>
  <c r="AP24" i="7" s="1"/>
  <c r="AP24" i="8" s="1"/>
  <c r="AP24" i="9" s="1"/>
  <c r="C40" i="5"/>
  <c r="AP19" i="6"/>
  <c r="AP19" i="7" s="1"/>
  <c r="AP19" i="8" s="1"/>
  <c r="AP19" i="9" s="1"/>
  <c r="C43" i="5"/>
  <c r="O43" i="5" s="1"/>
  <c r="AP22" i="6"/>
  <c r="AP22" i="7" s="1"/>
  <c r="AP22" i="8" s="1"/>
  <c r="AP22" i="9" s="1"/>
  <c r="C47" i="5"/>
  <c r="O47" i="5" s="1"/>
  <c r="AP26" i="6"/>
  <c r="AP26" i="7" s="1"/>
  <c r="AP26" i="8" s="1"/>
  <c r="AP26" i="9" s="1"/>
  <c r="O45" i="5" l="1"/>
  <c r="O44" i="5"/>
  <c r="O46" i="5"/>
  <c r="O42" i="5"/>
  <c r="O40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<sst xmlns="http://schemas.openxmlformats.org/spreadsheetml/2006/main" count="2516" uniqueCount="154">
  <si>
    <t>元旦 (New Year's Day)</t>
  </si>
  <si>
    <t>農曆新年第一天</t>
  </si>
  <si>
    <t>農曆新年第二天</t>
  </si>
  <si>
    <t>農曆新年第三天</t>
  </si>
  <si>
    <t>耶穌受難節 (Good Friday)</t>
  </si>
  <si>
    <t>受難節翌日</t>
  </si>
  <si>
    <t>清明節 (Ching Ming)</t>
  </si>
  <si>
    <t>復活節星期一 (Easter Monday)</t>
  </si>
  <si>
    <t>勞動節 (Labour Day)</t>
  </si>
  <si>
    <t>佛誕翌日</t>
  </si>
  <si>
    <t>端午節 (Tuen Ng)</t>
  </si>
  <si>
    <t>香港特區成立紀念日</t>
  </si>
  <si>
    <t>中秋節翌日</t>
  </si>
  <si>
    <t>國慶日 (National Day)</t>
  </si>
  <si>
    <t>重陽節 (Chung Yeung)</t>
  </si>
  <si>
    <t>聖誕節 (Christmas)</t>
  </si>
  <si>
    <t>聖誕節翌日</t>
  </si>
  <si>
    <t>date</t>
  </si>
  <si>
    <t>name</t>
  </si>
  <si>
    <t>Year</t>
    <phoneticPr fontId="2" type="noConversion"/>
  </si>
  <si>
    <t>On call Day monthly</t>
  </si>
  <si>
    <t>Ivy</t>
  </si>
  <si>
    <t>Amy</t>
  </si>
  <si>
    <t>A Lam</t>
  </si>
  <si>
    <t>Dicky</t>
  </si>
  <si>
    <t>Ka Po</t>
  </si>
  <si>
    <t>Katrina</t>
  </si>
  <si>
    <t>Melody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</si>
  <si>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</si>
  <si>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</si>
  <si>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</si>
  <si>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</si>
  <si>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</si>
  <si>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</si>
  <si>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</si>
  <si>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</si>
  <si>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</si>
  <si>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</si>
  <si>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</si>
  <si>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</si>
  <si>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total</t>
  </si>
  <si>
    <t>On call week monthly</t>
  </si>
  <si>
    <t>A LAM</t>
  </si>
  <si>
    <t>KATRINA</t>
  </si>
  <si>
    <t>YOKO</t>
  </si>
  <si>
    <t>On Call PH</t>
  </si>
  <si>
    <r>
      <rPr>
        <sz val="11"/>
        <color rgb="FFFF0000"/>
        <rFont val="Calibri"/>
        <family val="2"/>
        <scheme val="minor"/>
      </rPr>
      <t>Red date</t>
    </r>
    <r>
      <rPr>
        <sz val="11"/>
        <color theme="1"/>
        <rFont val="Calibri"/>
        <family val="2"/>
        <scheme val="minor"/>
      </rPr>
      <t>=PH</t>
    </r>
  </si>
  <si>
    <t>Highlight = Sun</t>
  </si>
  <si>
    <r>
      <t xml:space="preserve">Red date = </t>
    </r>
    <r>
      <rPr>
        <sz val="11"/>
        <rFont val="Calibri"/>
        <family val="2"/>
        <scheme val="minor"/>
      </rPr>
      <t>PH on Sat</t>
    </r>
  </si>
  <si>
    <t>Post</t>
  </si>
  <si>
    <t>Name</t>
  </si>
  <si>
    <t>GM</t>
  </si>
  <si>
    <t>Chan, Man Wai</t>
  </si>
  <si>
    <t>SNO</t>
  </si>
  <si>
    <t>Fan Hoi Wan, Ivy</t>
  </si>
  <si>
    <t>RN</t>
    <phoneticPr fontId="1" type="noConversion"/>
  </si>
  <si>
    <t>Ng Suet Ping, Yoko</t>
  </si>
  <si>
    <t>RN</t>
  </si>
  <si>
    <t>Tai Yuen To, Dicky</t>
  </si>
  <si>
    <t>Li Chung Ming, Amy</t>
  </si>
  <si>
    <t>Lam Yee Mei, Amy</t>
  </si>
  <si>
    <t>Yu Ka Po</t>
  </si>
  <si>
    <t>Chiu Wai Shan, Katrina</t>
  </si>
  <si>
    <t>CA</t>
  </si>
  <si>
    <t>Huang Huanrao, Yoyo</t>
  </si>
  <si>
    <t xml:space="preserve">CA </t>
  </si>
  <si>
    <t>Lee Ka Po, Kathy</t>
  </si>
  <si>
    <t>Radiographer</t>
    <phoneticPr fontId="1" type="noConversion"/>
  </si>
  <si>
    <t>Yip Wai Man, Mandy</t>
  </si>
  <si>
    <t xml:space="preserve">Mo Ho Kwan, Kelvin </t>
  </si>
  <si>
    <t>SSA</t>
    <phoneticPr fontId="1" type="noConversion"/>
  </si>
  <si>
    <t>Li Mui Ying</t>
  </si>
  <si>
    <t>AL: Annual Leave</t>
  </si>
  <si>
    <t>E1:10:30-19:00</t>
  </si>
  <si>
    <t>SL: Sick Leave</t>
  </si>
  <si>
    <t>Early support</t>
    <phoneticPr fontId="1" type="noConversion"/>
  </si>
  <si>
    <t>B: 08:00 - 16:00</t>
  </si>
  <si>
    <t>GM: General Manager</t>
  </si>
  <si>
    <t>SH: Statutory Holiday</t>
  </si>
  <si>
    <t>Late support</t>
    <phoneticPr fontId="1" type="noConversion"/>
  </si>
  <si>
    <t>B1: 08:00 - 16:15</t>
  </si>
  <si>
    <t>HD: 09:00 - 13:00</t>
  </si>
  <si>
    <t>SNO: Senior Nursing Officer</t>
    <phoneticPr fontId="1" type="noConversion"/>
  </si>
  <si>
    <t>Cover out-patient centre</t>
    <phoneticPr fontId="1" type="noConversion"/>
  </si>
  <si>
    <t>B2: 08:45 - 16:45</t>
  </si>
  <si>
    <t>HD1: 08:35 - 12:35</t>
    <phoneticPr fontId="1" type="noConversion"/>
  </si>
  <si>
    <t>SSA: Support Servive Staff</t>
    <phoneticPr fontId="1" type="noConversion"/>
  </si>
  <si>
    <t xml:space="preserve">on call </t>
    <phoneticPr fontId="1" type="noConversion"/>
  </si>
  <si>
    <t>on call team leader</t>
    <phoneticPr fontId="1" type="noConversion"/>
  </si>
  <si>
    <t>B3: 08:35 - 17:35</t>
    <phoneticPr fontId="1" type="noConversion"/>
  </si>
  <si>
    <t>HD2: 08:00 - 13:00</t>
  </si>
  <si>
    <t xml:space="preserve">CT: comp time off </t>
    <phoneticPr fontId="1" type="noConversion"/>
  </si>
  <si>
    <t xml:space="preserve">on call </t>
  </si>
  <si>
    <t>B4: 08:15 - 16:15</t>
    <phoneticPr fontId="1" type="noConversion"/>
  </si>
  <si>
    <t>HD3: 09:30 - 13:30</t>
  </si>
  <si>
    <t>HDAL: Half-day Annual Leave</t>
  </si>
  <si>
    <t xml:space="preserve">CCIL on call: after office hours </t>
    <phoneticPr fontId="1" type="noConversion"/>
  </si>
  <si>
    <t>B5: 08:00 - 17:00</t>
  </si>
  <si>
    <t>HD4: 08:00 - 12:00</t>
  </si>
  <si>
    <t xml:space="preserve">( ) extra duty </t>
  </si>
  <si>
    <t>B6: 08:15 - 16:30</t>
  </si>
  <si>
    <t>L: 08:30-19:30</t>
  </si>
  <si>
    <t>E: 11:00-19:00</t>
    <phoneticPr fontId="1" type="noConversion"/>
  </si>
  <si>
    <t>JSL: Jury Service Leave</t>
  </si>
  <si>
    <t>CA: Clinic Assistant</t>
  </si>
  <si>
    <t>ML: Maternity Leave</t>
  </si>
  <si>
    <t>CL: Compassionate Leave</t>
  </si>
  <si>
    <t>PaH: Paternity Leave</t>
  </si>
  <si>
    <t>D: 09:00 - 17:00</t>
    <phoneticPr fontId="1" type="noConversion"/>
  </si>
  <si>
    <t>PH: Public Holiday</t>
  </si>
  <si>
    <t>D1: 08:30 - 17:00</t>
  </si>
  <si>
    <t>Radiographer IC: Radiographer In-charge</t>
    <phoneticPr fontId="1" type="noConversion"/>
  </si>
  <si>
    <t>D2: 08:30 -17:30</t>
  </si>
  <si>
    <t>RN: Registered Nurse</t>
  </si>
  <si>
    <t>D3: 09:00 - 18:00</t>
    <phoneticPr fontId="1" type="noConversion"/>
  </si>
  <si>
    <t>SD: Study Day</t>
    <phoneticPr fontId="1" type="noConversion"/>
  </si>
  <si>
    <t>DO: Duty off</t>
  </si>
  <si>
    <t>Mok Hoi Lam, Melody</t>
  </si>
  <si>
    <t>Addie</t>
  </si>
  <si>
    <t>Yoko</t>
  </si>
  <si>
    <t>Yoyo</t>
  </si>
  <si>
    <t>Kathy</t>
  </si>
  <si>
    <t xml:space="preserve">Prepared by: SNO Fan Hoi Wan </t>
  </si>
  <si>
    <t>DON’T DELETE THIS ROW</t>
  </si>
  <si>
    <t>Total working hours</t>
  </si>
  <si>
    <t>Full name</t>
  </si>
  <si>
    <t xml:space="preserve">            IF(WEEKDAY(C$16,2)=6,</t>
  </si>
  <si>
    <t xml:space="preserve">                IF($B18="Chan, Man Wai", "HD",</t>
  </si>
  <si>
    <t xml:space="preserve">                    IF($B18="Ng Suet Ping, Yoko", "HD",</t>
  </si>
  <si>
    <t xml:space="preserve">                        IF($B18="Li Mui Ying", "HD1",</t>
  </si>
  <si>
    <t xml:space="preserve">                            IF($B18="Huang Huanrao, Yoyo", IF(MOD(C$13,2)=1, "HD2", IFERROR(IF(SUMPRODUCT(($B$3:$AG$3 = C$16) * ($B$5:$AG$7 = VLOOKUP($B18, 'On call stat'!$S$3:$T$10, 2, FALSE))) &gt; 0, "D", "DO"), "DO")),</t>
  </si>
  <si>
    <t xml:space="preserve">                                IF($B18="Lee Ka Po, Kathy", IF(MOD(C$13,2)=0, "HD2", IFERROR(IF(SUMPRODUCT(($B$3:$AG$3 = C$16) * ($B$5:$AG$7 = VLOOKUP($B18, 'On call stat'!$S$3:$T$10, 2, FALSE))) &gt; 0, "D", "DO"), "DO")),</t>
  </si>
  <si>
    <t xml:space="preserve">                                    IFERROR(IF(SUMPRODUCT(($B$3:$AG$3 = C$16) * ($B$5:$AG$7 = VLOOKUP($B18, 'On call stat'!$S$3:$T$10, 2, FALSE))) &gt; 0, "D", "DO"), "DO")))))),</t>
  </si>
  <si>
    <t xml:space="preserve">                IF($B18="Huang Huanrao, Yoyo", IF(MOD(C$13,2)=1, "D1", "B6"),</t>
  </si>
  <si>
    <t xml:space="preserve">                    IF($B18="Lee Ka Po, Kathy", IF(MOD(C$13,2)=0, "D1", "B6"),</t>
  </si>
  <si>
    <t xml:space="preserve">                        IFERROR(IF(SUMPRODUCT(($B$3:$AG$3 = C$16) * ($B$5:$AG$7 = VLOOKUP($B18, 'On call stat'!$S$3:$T$10, 2, FALSE))) &gt; 0, "E", "D"), "D")))))))</t>
  </si>
  <si>
    <t>Mui Ying</t>
  </si>
  <si>
    <t>Working hours balance</t>
  </si>
  <si>
    <t>Work</t>
  </si>
  <si>
    <t>AL</t>
  </si>
  <si>
    <t>Fan Hoi Wan, Ivy</t>
    <phoneticPr fontId="16" type="noConversion"/>
  </si>
  <si>
    <t>Ivy</t>
    <phoneticPr fontId="2" type="noConversion"/>
  </si>
  <si>
    <t>IVY</t>
    <phoneticPr fontId="2" type="noConversion"/>
  </si>
  <si>
    <t>YOKO</t>
    <phoneticPr fontId="2" type="noConversion"/>
  </si>
  <si>
    <t>Amy</t>
    <phoneticPr fontId="2" type="noConversion"/>
  </si>
  <si>
    <t>Year</t>
    <phoneticPr fontId="3" type="noConversion"/>
  </si>
  <si>
    <t>Jan</t>
    <phoneticPr fontId="3" type="noConversion"/>
  </si>
  <si>
    <t xml:space="preserve">Monthly Balance </t>
    <phoneticPr fontId="3" type="noConversion"/>
  </si>
  <si>
    <t>Cumulative balance</t>
  </si>
  <si>
    <t>Chan, Man Wai</t>
    <phoneticPr fontId="3" type="noConversion"/>
  </si>
  <si>
    <t>Ng Suet Ping, Yoko</t>
    <phoneticPr fontId="3" type="noConversion"/>
  </si>
  <si>
    <t>Li Mui Ying</t>
    <phoneticPr fontId="3" type="noConversion"/>
  </si>
  <si>
    <t>Lee Ka Po, Kathy</t>
    <phoneticPr fontId="3" type="noConversion"/>
  </si>
  <si>
    <t>Huang Huanrao, Yoyo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</si>
</sst>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d/m/yy;@"/>
    <numFmt numFmtId="166" formatCode="d/m"/>
    <numFmt numFmtId="167" formatCode="dd/mm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1"/>
      <charset val="136"/>
      <scheme val="minor"/>
    </font>
    <font>
      <b/>
      <sz val="8"/>
      <color theme="1"/>
      <name val="Times New Roman"/>
      <family val="1"/>
    </font>
    <font>
      <b/>
      <sz val="8"/>
      <color theme="1"/>
      <name val="Calibri"/>
      <family val="1"/>
      <charset val="136"/>
      <scheme val="minor"/>
    </font>
    <font>
      <sz val="11"/>
      <color rgb="FFED0000"/>
      <name val="Calibri"/>
      <family val="2"/>
      <scheme val="minor"/>
    </font>
    <font>
      <sz val="9"/>
      <name val="Calibri"/>
      <family val="3"/>
      <charset val="136"/>
      <scheme val="minor"/>
    </font>
    <font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8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6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1" xfId="0" applyNumberFormat="1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165" fontId="4" fillId="3" borderId="0" xfId="0" applyNumberFormat="1" applyFont="1" applyFill="1"/>
    <xf numFmtId="0" fontId="0" fillId="4" borderId="0" xfId="0" applyFill="1"/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2" fillId="5" borderId="0" xfId="0" applyFont="1" applyFill="1"/>
    <xf numFmtId="0" fontId="12" fillId="2" borderId="0" xfId="0" applyFont="1" applyFill="1"/>
    <xf numFmtId="0" fontId="11" fillId="0" borderId="0" xfId="0" applyFont="1" applyAlignment="1">
      <alignment horizontal="center"/>
    </xf>
    <xf numFmtId="0" fontId="12" fillId="3" borderId="0" xfId="0" applyFont="1" applyFill="1"/>
    <xf numFmtId="0" fontId="14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6" xfId="0" applyBorder="1"/>
    <xf numFmtId="0" fontId="0" fillId="6" borderId="0" xfId="0" applyFill="1"/>
    <xf numFmtId="0" fontId="0" fillId="6" borderId="16" xfId="0" applyFill="1" applyBorder="1"/>
    <xf numFmtId="0" fontId="0" fillId="0" borderId="17" xfId="0" applyBorder="1"/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164" fontId="0" fillId="0" borderId="18" xfId="0" applyNumberFormat="1" applyBorder="1"/>
    <xf numFmtId="164" fontId="0" fillId="0" borderId="3" xfId="0" applyNumberFormat="1" applyBorder="1"/>
    <xf numFmtId="0" fontId="6" fillId="0" borderId="19" xfId="0" applyFont="1" applyBorder="1" applyAlignment="1">
      <alignment horizontal="center" vertical="center" wrapText="1"/>
    </xf>
    <xf numFmtId="0" fontId="0" fillId="0" borderId="20" xfId="0" applyBorder="1"/>
    <xf numFmtId="164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7" fontId="7" fillId="0" borderId="2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165" fontId="0" fillId="0" borderId="3" xfId="0" applyNumberFormat="1" applyBorder="1" applyAlignment="1">
      <alignment horizontal="center"/>
    </xf>
    <xf numFmtId="164" fontId="0" fillId="0" borderId="22" xfId="0" applyNumberFormat="1" applyBorder="1"/>
    <xf numFmtId="0" fontId="6" fillId="0" borderId="23" xfId="0" applyFont="1" applyBorder="1" applyAlignment="1">
      <alignment horizontal="center" vertical="center" wrapText="1"/>
    </xf>
    <xf numFmtId="164" fontId="0" fillId="6" borderId="0" xfId="0" applyNumberFormat="1" applyFill="1"/>
    <xf numFmtId="0" fontId="0" fillId="6" borderId="20" xfId="0" applyFill="1" applyBorder="1"/>
    <xf numFmtId="164" fontId="7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167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left"/>
    </xf>
    <xf numFmtId="0" fontId="19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18" xfId="0" applyFont="1" applyBorder="1" applyAlignment="1">
      <alignment horizontal="center" wrapText="1"/>
    </xf>
    <xf numFmtId="0" fontId="17" fillId="0" borderId="24" xfId="0" applyFont="1" applyBorder="1" applyAlignment="1">
      <alignment horizontal="center" wrapText="1"/>
    </xf>
  </cellXfs>
  <cellStyles count="1">
    <cellStyle name="一般" xfId="0" builtinId="0"/>
  </cellStyles>
  <dxfs count="283"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9AF177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66"/>
      <color rgb="FF9AF177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8FDC96F5-F014-43D2-AEC9-B3135345342F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D54ED71E-3322-42A0-816D-0297D869BA33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E92D619F-2FAD-4FF0-BBEB-A03425966C13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15</xdr:row>
      <xdr:rowOff>227112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92D2E9D9-5BD4-4747-A56E-5F2807D6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0911"/>
          <a:ext cx="1023204" cy="347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D5591B2E-1686-468F-B04B-338FB2275D23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7C9BAA6B-0124-4DA8-9F3E-625005810783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F70F3A14-C9A4-4187-B621-D9621099126B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D12F0A99-6812-4273-8547-2D07F9CEAA7F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29E63966-52F8-420D-BF39-FA070D132D7C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54FF62D4-94BB-4740-ADE0-37ECE982DBDE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87E44852-C012-412A-8D3F-0680017C7686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E0401A7E-7F00-4772-8A1A-7456017884AD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BD3AD007-4942-45A8-A089-28EFD71B665A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1F3FE5F1-A7E6-4CEF-BADF-BE5B1346B27D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2D9D9564-EE56-4765-A041-1285CEB99541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85FA6A3D-022E-45A7-8C80-0E02DC4771B8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CCC9EA78-E6C4-4AF1-BAD1-A922CEABB73E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10DD3F4D-F2D7-4F2C-A3D2-FDA61E60A683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3808DAC1-6176-4D37-A4E3-B8F1EEBD8F52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194A2AC7-2D77-4EF7-AC16-4180A61C27B8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0ADDF214-DF03-4017-9BED-9AC3674C037A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64749EEA-6365-4ACE-AD57-64B32BD5543D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4292C4D2-2A01-4F55-9803-A47C807440A0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2F0FC8EC-9473-4887-8D1E-1BEFBA2148A6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039C923C-67DB-4D81-B6F6-F5EAD151C60A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D19956CA-BBB6-43C9-887C-E3494B51352B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07451AFE-13B5-4844-A810-505A867198DF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31932643-546A-48F4-B54A-C5C02DA9C900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BD494937-9E71-49A7-9970-DD872FE8F513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ED6A3DAA-A272-474A-BFB4-C4BC6CEC491D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AF9B3C69-4053-4101-91B0-75B6AD997E5D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684A747E-569A-4674-AB29-1323B1452364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B4E12157-DECC-4850-B4BF-ED627065758D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EAADFE57-D928-49E1-B93F-66C8E5E26C12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F1FE802D-218B-42B5-8D40-2BB13F0FC8F0}"/>
            </a:ext>
          </a:extLst>
        </xdr:cNvPr>
        <xdr:cNvSpPr/>
      </xdr:nvSpPr>
      <xdr:spPr>
        <a:xfrm>
          <a:off x="685800" y="5219700"/>
          <a:ext cx="45719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0C8738EC-1386-4F0C-A1F1-8D95AE39D4AA}"/>
            </a:ext>
          </a:extLst>
        </xdr:cNvPr>
        <xdr:cNvSpPr/>
      </xdr:nvSpPr>
      <xdr:spPr>
        <a:xfrm>
          <a:off x="657225" y="5400675"/>
          <a:ext cx="65531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AA821D45-FBBB-40C9-91F0-66985F956C5D}"/>
            </a:ext>
          </a:extLst>
        </xdr:cNvPr>
        <xdr:cNvSpPr/>
      </xdr:nvSpPr>
      <xdr:spPr>
        <a:xfrm>
          <a:off x="609600" y="5534025"/>
          <a:ext cx="123825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A198E440-42AE-474C-8B03-168FEAD8ADAB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20042717-0C82-4D8B-B594-FB80A5856E49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433404A8-99F5-46CD-A6B5-665E7E6DA531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" name="箭號: 向上 117">
          <a:extLst>
            <a:ext uri="{FF2B5EF4-FFF2-40B4-BE49-F238E27FC236}">
              <a16:creationId xmlns:a16="http://schemas.microsoft.com/office/drawing/2014/main" id="{91F2AC27-BACA-4E12-A057-74FEB0DD8A9A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" name="箭號: 向下 119">
          <a:extLst>
            <a:ext uri="{FF2B5EF4-FFF2-40B4-BE49-F238E27FC236}">
              <a16:creationId xmlns:a16="http://schemas.microsoft.com/office/drawing/2014/main" id="{AE873EE5-B939-4A34-8D51-BA719EF5B546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7" name="箭號: 向右 187">
          <a:extLst>
            <a:ext uri="{FF2B5EF4-FFF2-40B4-BE49-F238E27FC236}">
              <a16:creationId xmlns:a16="http://schemas.microsoft.com/office/drawing/2014/main" id="{238B950C-1681-4114-9510-AD06D8063489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8" name="箭號: 向上 117">
          <a:extLst>
            <a:ext uri="{FF2B5EF4-FFF2-40B4-BE49-F238E27FC236}">
              <a16:creationId xmlns:a16="http://schemas.microsoft.com/office/drawing/2014/main" id="{688A8182-9F8C-499D-96C6-8439EA758E77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9" name="箭號: 向下 119">
          <a:extLst>
            <a:ext uri="{FF2B5EF4-FFF2-40B4-BE49-F238E27FC236}">
              <a16:creationId xmlns:a16="http://schemas.microsoft.com/office/drawing/2014/main" id="{7C00B1B0-6472-499E-95CF-47DBF6979B95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0" name="箭號: 向右 187">
          <a:extLst>
            <a:ext uri="{FF2B5EF4-FFF2-40B4-BE49-F238E27FC236}">
              <a16:creationId xmlns:a16="http://schemas.microsoft.com/office/drawing/2014/main" id="{B844EAA5-AF19-4C0E-BBC0-D2FD078EDFE1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1" name="箭號: 向上 117">
          <a:extLst>
            <a:ext uri="{FF2B5EF4-FFF2-40B4-BE49-F238E27FC236}">
              <a16:creationId xmlns:a16="http://schemas.microsoft.com/office/drawing/2014/main" id="{D7D56A78-BC67-40DB-9CE4-16DED8EFDA5F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2" name="箭號: 向下 119">
          <a:extLst>
            <a:ext uri="{FF2B5EF4-FFF2-40B4-BE49-F238E27FC236}">
              <a16:creationId xmlns:a16="http://schemas.microsoft.com/office/drawing/2014/main" id="{2EC68FDD-2B5A-4795-A2A2-1AF24B90253B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3" name="箭號: 向右 187">
          <a:extLst>
            <a:ext uri="{FF2B5EF4-FFF2-40B4-BE49-F238E27FC236}">
              <a16:creationId xmlns:a16="http://schemas.microsoft.com/office/drawing/2014/main" id="{D1D0A41F-F8D0-4784-884B-1809D6665633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4" name="箭號: 向上 117">
          <a:extLst>
            <a:ext uri="{FF2B5EF4-FFF2-40B4-BE49-F238E27FC236}">
              <a16:creationId xmlns:a16="http://schemas.microsoft.com/office/drawing/2014/main" id="{B7EBD638-DE83-4C6B-B454-A8D899088096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5" name="箭號: 向下 119">
          <a:extLst>
            <a:ext uri="{FF2B5EF4-FFF2-40B4-BE49-F238E27FC236}">
              <a16:creationId xmlns:a16="http://schemas.microsoft.com/office/drawing/2014/main" id="{BECBE48A-6218-45E9-BD30-134E8E6E8469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6" name="箭號: 向右 187">
          <a:extLst>
            <a:ext uri="{FF2B5EF4-FFF2-40B4-BE49-F238E27FC236}">
              <a16:creationId xmlns:a16="http://schemas.microsoft.com/office/drawing/2014/main" id="{B879F2B2-AD45-47EA-9C2F-D6653B2C07D9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7" name="箭號: 向上 117">
          <a:extLst>
            <a:ext uri="{FF2B5EF4-FFF2-40B4-BE49-F238E27FC236}">
              <a16:creationId xmlns:a16="http://schemas.microsoft.com/office/drawing/2014/main" id="{2E20E7BE-1BAE-4366-964E-E992F0228D03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8" name="箭號: 向下 119">
          <a:extLst>
            <a:ext uri="{FF2B5EF4-FFF2-40B4-BE49-F238E27FC236}">
              <a16:creationId xmlns:a16="http://schemas.microsoft.com/office/drawing/2014/main" id="{87029B3B-F422-42EB-BB20-36189B16E505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9" name="箭號: 向右 187">
          <a:extLst>
            <a:ext uri="{FF2B5EF4-FFF2-40B4-BE49-F238E27FC236}">
              <a16:creationId xmlns:a16="http://schemas.microsoft.com/office/drawing/2014/main" id="{E50C789C-87BF-4A61-ABF7-65173869AA52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0" name="箭號: 向上 117">
          <a:extLst>
            <a:ext uri="{FF2B5EF4-FFF2-40B4-BE49-F238E27FC236}">
              <a16:creationId xmlns:a16="http://schemas.microsoft.com/office/drawing/2014/main" id="{FE4FB027-5A64-4A99-912E-40924ECA3718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1" name="箭號: 向下 119">
          <a:extLst>
            <a:ext uri="{FF2B5EF4-FFF2-40B4-BE49-F238E27FC236}">
              <a16:creationId xmlns:a16="http://schemas.microsoft.com/office/drawing/2014/main" id="{276EE5AA-11BE-4EE3-9579-DD84A03E3A63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2" name="箭號: 向右 187">
          <a:extLst>
            <a:ext uri="{FF2B5EF4-FFF2-40B4-BE49-F238E27FC236}">
              <a16:creationId xmlns:a16="http://schemas.microsoft.com/office/drawing/2014/main" id="{5931CEA3-C158-4CFB-8FFC-9641005D44A6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3" name="箭號: 向上 117">
          <a:extLst>
            <a:ext uri="{FF2B5EF4-FFF2-40B4-BE49-F238E27FC236}">
              <a16:creationId xmlns:a16="http://schemas.microsoft.com/office/drawing/2014/main" id="{B2FA2D0F-21B4-47DE-92D2-70BB1ECA1537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4" name="箭號: 向下 119">
          <a:extLst>
            <a:ext uri="{FF2B5EF4-FFF2-40B4-BE49-F238E27FC236}">
              <a16:creationId xmlns:a16="http://schemas.microsoft.com/office/drawing/2014/main" id="{1C9D0DCA-E020-4A94-AF2F-06DA47971418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5" name="箭號: 向右 187">
          <a:extLst>
            <a:ext uri="{FF2B5EF4-FFF2-40B4-BE49-F238E27FC236}">
              <a16:creationId xmlns:a16="http://schemas.microsoft.com/office/drawing/2014/main" id="{094DB4F6-9F10-4797-A313-2DF926437F67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6" name="箭號: 向上 117">
          <a:extLst>
            <a:ext uri="{FF2B5EF4-FFF2-40B4-BE49-F238E27FC236}">
              <a16:creationId xmlns:a16="http://schemas.microsoft.com/office/drawing/2014/main" id="{44F3D15E-BAEE-43B5-A68C-E7D863314B07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7" name="箭號: 向下 119">
          <a:extLst>
            <a:ext uri="{FF2B5EF4-FFF2-40B4-BE49-F238E27FC236}">
              <a16:creationId xmlns:a16="http://schemas.microsoft.com/office/drawing/2014/main" id="{05FFF969-79FD-4F0D-B071-7D33A20852BB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8" name="箭號: 向右 187">
          <a:extLst>
            <a:ext uri="{FF2B5EF4-FFF2-40B4-BE49-F238E27FC236}">
              <a16:creationId xmlns:a16="http://schemas.microsoft.com/office/drawing/2014/main" id="{623AD6E4-EC4C-4488-9619-922BB066C9C3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9" name="箭號: 向上 117">
          <a:extLst>
            <a:ext uri="{FF2B5EF4-FFF2-40B4-BE49-F238E27FC236}">
              <a16:creationId xmlns:a16="http://schemas.microsoft.com/office/drawing/2014/main" id="{01762CF1-1295-43F3-8C26-5BF65F56C397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0" name="箭號: 向下 119">
          <a:extLst>
            <a:ext uri="{FF2B5EF4-FFF2-40B4-BE49-F238E27FC236}">
              <a16:creationId xmlns:a16="http://schemas.microsoft.com/office/drawing/2014/main" id="{DEEFBF44-CF97-4D18-ABF8-810C7DF32A0F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1" name="箭號: 向右 187">
          <a:extLst>
            <a:ext uri="{FF2B5EF4-FFF2-40B4-BE49-F238E27FC236}">
              <a16:creationId xmlns:a16="http://schemas.microsoft.com/office/drawing/2014/main" id="{92792621-7677-4DF6-BE2C-E90709A8D5B5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2" name="箭號: 向上 117">
          <a:extLst>
            <a:ext uri="{FF2B5EF4-FFF2-40B4-BE49-F238E27FC236}">
              <a16:creationId xmlns:a16="http://schemas.microsoft.com/office/drawing/2014/main" id="{9346E8A5-77F9-4063-AAB6-3C53A863EDCA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3" name="箭號: 向下 119">
          <a:extLst>
            <a:ext uri="{FF2B5EF4-FFF2-40B4-BE49-F238E27FC236}">
              <a16:creationId xmlns:a16="http://schemas.microsoft.com/office/drawing/2014/main" id="{54CC1FDE-CB98-4A67-AA50-700CEF982E40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4" name="箭號: 向右 187">
          <a:extLst>
            <a:ext uri="{FF2B5EF4-FFF2-40B4-BE49-F238E27FC236}">
              <a16:creationId xmlns:a16="http://schemas.microsoft.com/office/drawing/2014/main" id="{C667B11C-F907-4BCB-BFE6-A5E8172B5C3A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5" name="箭號: 向上 117">
          <a:extLst>
            <a:ext uri="{FF2B5EF4-FFF2-40B4-BE49-F238E27FC236}">
              <a16:creationId xmlns:a16="http://schemas.microsoft.com/office/drawing/2014/main" id="{7CF5C121-8279-4A42-8690-58BE9EA39DB4}"/>
            </a:ext>
          </a:extLst>
        </xdr:cNvPr>
        <xdr:cNvSpPr/>
      </xdr:nvSpPr>
      <xdr:spPr>
        <a:xfrm>
          <a:off x="609600" y="1267777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6" name="箭號: 向下 119">
          <a:extLst>
            <a:ext uri="{FF2B5EF4-FFF2-40B4-BE49-F238E27FC236}">
              <a16:creationId xmlns:a16="http://schemas.microsoft.com/office/drawing/2014/main" id="{9FD4D436-D6BB-4C4F-9631-99723CD6B348}"/>
            </a:ext>
          </a:extLst>
        </xdr:cNvPr>
        <xdr:cNvSpPr/>
      </xdr:nvSpPr>
      <xdr:spPr>
        <a:xfrm>
          <a:off x="609600" y="1288732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7" name="箭號: 向右 187">
          <a:extLst>
            <a:ext uri="{FF2B5EF4-FFF2-40B4-BE49-F238E27FC236}">
              <a16:creationId xmlns:a16="http://schemas.microsoft.com/office/drawing/2014/main" id="{CC2B129D-74F6-4CA1-9254-3BA38CB3EB83}"/>
            </a:ext>
          </a:extLst>
        </xdr:cNvPr>
        <xdr:cNvSpPr/>
      </xdr:nvSpPr>
      <xdr:spPr>
        <a:xfrm>
          <a:off x="609600" y="1304925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8" name="箭號: 向上 117">
          <a:extLst>
            <a:ext uri="{FF2B5EF4-FFF2-40B4-BE49-F238E27FC236}">
              <a16:creationId xmlns:a16="http://schemas.microsoft.com/office/drawing/2014/main" id="{4169C245-F483-4438-9B2F-32E2B6B2844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9" name="箭號: 向下 119">
          <a:extLst>
            <a:ext uri="{FF2B5EF4-FFF2-40B4-BE49-F238E27FC236}">
              <a16:creationId xmlns:a16="http://schemas.microsoft.com/office/drawing/2014/main" id="{71DE8DEC-011A-4ADD-A1AA-1093D5B672D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0" name="箭號: 向右 187">
          <a:extLst>
            <a:ext uri="{FF2B5EF4-FFF2-40B4-BE49-F238E27FC236}">
              <a16:creationId xmlns:a16="http://schemas.microsoft.com/office/drawing/2014/main" id="{823961E3-4B81-4B84-95BC-7472F438B82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20603</xdr:rowOff>
    </xdr:to>
    <xdr:pic>
      <xdr:nvPicPr>
        <xdr:cNvPr id="41" name="圖片 1">
          <a:extLst>
            <a:ext uri="{FF2B5EF4-FFF2-40B4-BE49-F238E27FC236}">
              <a16:creationId xmlns:a16="http://schemas.microsoft.com/office/drawing/2014/main" id="{E15D4DA4-E9DF-4D76-B07C-D5E1639F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2" name="箭號: 向上 117">
          <a:extLst>
            <a:ext uri="{FF2B5EF4-FFF2-40B4-BE49-F238E27FC236}">
              <a16:creationId xmlns:a16="http://schemas.microsoft.com/office/drawing/2014/main" id="{AE19423C-D33F-492A-9352-0E633115174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3" name="箭號: 向下 119">
          <a:extLst>
            <a:ext uri="{FF2B5EF4-FFF2-40B4-BE49-F238E27FC236}">
              <a16:creationId xmlns:a16="http://schemas.microsoft.com/office/drawing/2014/main" id="{79E2FB83-6859-4937-BFDB-D56722EEEA3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4" name="箭號: 向右 187">
          <a:extLst>
            <a:ext uri="{FF2B5EF4-FFF2-40B4-BE49-F238E27FC236}">
              <a16:creationId xmlns:a16="http://schemas.microsoft.com/office/drawing/2014/main" id="{D3D669D7-6631-41C4-9A24-C46B70944E4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5" name="箭號: 向上 117">
          <a:extLst>
            <a:ext uri="{FF2B5EF4-FFF2-40B4-BE49-F238E27FC236}">
              <a16:creationId xmlns:a16="http://schemas.microsoft.com/office/drawing/2014/main" id="{A272011C-610B-431B-A19B-CAD22467245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6" name="箭號: 向下 119">
          <a:extLst>
            <a:ext uri="{FF2B5EF4-FFF2-40B4-BE49-F238E27FC236}">
              <a16:creationId xmlns:a16="http://schemas.microsoft.com/office/drawing/2014/main" id="{FEF9FC44-29D3-49AE-9BC1-4AFE622DA25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7" name="箭號: 向右 187">
          <a:extLst>
            <a:ext uri="{FF2B5EF4-FFF2-40B4-BE49-F238E27FC236}">
              <a16:creationId xmlns:a16="http://schemas.microsoft.com/office/drawing/2014/main" id="{A84F0C9B-7045-4A36-B3E1-0FCB6026611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8" name="箭號: 向上 117">
          <a:extLst>
            <a:ext uri="{FF2B5EF4-FFF2-40B4-BE49-F238E27FC236}">
              <a16:creationId xmlns:a16="http://schemas.microsoft.com/office/drawing/2014/main" id="{88214AD3-94E7-4C4C-ABB9-887D6042FC6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9" name="箭號: 向下 119">
          <a:extLst>
            <a:ext uri="{FF2B5EF4-FFF2-40B4-BE49-F238E27FC236}">
              <a16:creationId xmlns:a16="http://schemas.microsoft.com/office/drawing/2014/main" id="{359720EE-C8C0-4CBA-AFE6-EC4CD2C90B1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0" name="箭號: 向右 187">
          <a:extLst>
            <a:ext uri="{FF2B5EF4-FFF2-40B4-BE49-F238E27FC236}">
              <a16:creationId xmlns:a16="http://schemas.microsoft.com/office/drawing/2014/main" id="{6B93E3EE-90EC-4285-9344-D54DFA7232F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1" name="箭號: 向上 117">
          <a:extLst>
            <a:ext uri="{FF2B5EF4-FFF2-40B4-BE49-F238E27FC236}">
              <a16:creationId xmlns:a16="http://schemas.microsoft.com/office/drawing/2014/main" id="{68A70680-A76B-4AA0-913A-FF1DC99447E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2" name="箭號: 向下 119">
          <a:extLst>
            <a:ext uri="{FF2B5EF4-FFF2-40B4-BE49-F238E27FC236}">
              <a16:creationId xmlns:a16="http://schemas.microsoft.com/office/drawing/2014/main" id="{DE6B820C-55C0-4C26-9611-110823262AC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3" name="箭號: 向右 187">
          <a:extLst>
            <a:ext uri="{FF2B5EF4-FFF2-40B4-BE49-F238E27FC236}">
              <a16:creationId xmlns:a16="http://schemas.microsoft.com/office/drawing/2014/main" id="{B0D0C03A-E924-4B26-9AB9-B8A772034CF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4" name="箭號: 向上 117">
          <a:extLst>
            <a:ext uri="{FF2B5EF4-FFF2-40B4-BE49-F238E27FC236}">
              <a16:creationId xmlns:a16="http://schemas.microsoft.com/office/drawing/2014/main" id="{A6911CDC-4745-4A8E-B256-A6208B4FDAA4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5" name="箭號: 向下 119">
          <a:extLst>
            <a:ext uri="{FF2B5EF4-FFF2-40B4-BE49-F238E27FC236}">
              <a16:creationId xmlns:a16="http://schemas.microsoft.com/office/drawing/2014/main" id="{0ADD5673-B6B8-4786-A982-68BA943FC33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6" name="箭號: 向右 187">
          <a:extLst>
            <a:ext uri="{FF2B5EF4-FFF2-40B4-BE49-F238E27FC236}">
              <a16:creationId xmlns:a16="http://schemas.microsoft.com/office/drawing/2014/main" id="{69ADE71B-24D8-4EB0-A91D-1CDAC0D0A9F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7" name="箭號: 向上 117">
          <a:extLst>
            <a:ext uri="{FF2B5EF4-FFF2-40B4-BE49-F238E27FC236}">
              <a16:creationId xmlns:a16="http://schemas.microsoft.com/office/drawing/2014/main" id="{F25F2437-FE44-416A-9595-1376BCB2D93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8" name="箭號: 向下 119">
          <a:extLst>
            <a:ext uri="{FF2B5EF4-FFF2-40B4-BE49-F238E27FC236}">
              <a16:creationId xmlns:a16="http://schemas.microsoft.com/office/drawing/2014/main" id="{4A19309D-C85C-43BA-A935-18100FDF325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9" name="箭號: 向右 187">
          <a:extLst>
            <a:ext uri="{FF2B5EF4-FFF2-40B4-BE49-F238E27FC236}">
              <a16:creationId xmlns:a16="http://schemas.microsoft.com/office/drawing/2014/main" id="{7DE14479-F1A9-47EE-87F1-9D79D549CFC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0" name="箭號: 向上 117">
          <a:extLst>
            <a:ext uri="{FF2B5EF4-FFF2-40B4-BE49-F238E27FC236}">
              <a16:creationId xmlns:a16="http://schemas.microsoft.com/office/drawing/2014/main" id="{D34E119D-8E28-43A4-8888-868A0E72944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1" name="箭號: 向下 119">
          <a:extLst>
            <a:ext uri="{FF2B5EF4-FFF2-40B4-BE49-F238E27FC236}">
              <a16:creationId xmlns:a16="http://schemas.microsoft.com/office/drawing/2014/main" id="{3CFED9C9-2950-426B-AB5B-C6C826C8F2C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2" name="箭號: 向右 187">
          <a:extLst>
            <a:ext uri="{FF2B5EF4-FFF2-40B4-BE49-F238E27FC236}">
              <a16:creationId xmlns:a16="http://schemas.microsoft.com/office/drawing/2014/main" id="{5E62255F-1343-4440-9DBA-66617844B50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3" name="箭號: 向上 117">
          <a:extLst>
            <a:ext uri="{FF2B5EF4-FFF2-40B4-BE49-F238E27FC236}">
              <a16:creationId xmlns:a16="http://schemas.microsoft.com/office/drawing/2014/main" id="{F9B31A31-CC99-41E3-87EA-9E5D8B75874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4" name="箭號: 向下 119">
          <a:extLst>
            <a:ext uri="{FF2B5EF4-FFF2-40B4-BE49-F238E27FC236}">
              <a16:creationId xmlns:a16="http://schemas.microsoft.com/office/drawing/2014/main" id="{E2110FF8-7B7C-4EBA-BE75-A8B252D7CF1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5" name="箭號: 向右 187">
          <a:extLst>
            <a:ext uri="{FF2B5EF4-FFF2-40B4-BE49-F238E27FC236}">
              <a16:creationId xmlns:a16="http://schemas.microsoft.com/office/drawing/2014/main" id="{29B9B70C-B057-4B9E-8650-B22D222E865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6" name="箭號: 向上 117">
          <a:extLst>
            <a:ext uri="{FF2B5EF4-FFF2-40B4-BE49-F238E27FC236}">
              <a16:creationId xmlns:a16="http://schemas.microsoft.com/office/drawing/2014/main" id="{4D3D2749-A636-42BE-8226-358EDE268DF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7" name="箭號: 向下 119">
          <a:extLst>
            <a:ext uri="{FF2B5EF4-FFF2-40B4-BE49-F238E27FC236}">
              <a16:creationId xmlns:a16="http://schemas.microsoft.com/office/drawing/2014/main" id="{154BF2B3-5B27-4640-A8C5-718DDEE468C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8" name="箭號: 向右 187">
          <a:extLst>
            <a:ext uri="{FF2B5EF4-FFF2-40B4-BE49-F238E27FC236}">
              <a16:creationId xmlns:a16="http://schemas.microsoft.com/office/drawing/2014/main" id="{0FD155E2-F71D-40D0-9506-6B9A39B2359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9" name="箭號: 向上 117">
          <a:extLst>
            <a:ext uri="{FF2B5EF4-FFF2-40B4-BE49-F238E27FC236}">
              <a16:creationId xmlns:a16="http://schemas.microsoft.com/office/drawing/2014/main" id="{30141EFB-ABB4-4181-A7C7-0B43970339E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0" name="箭號: 向下 119">
          <a:extLst>
            <a:ext uri="{FF2B5EF4-FFF2-40B4-BE49-F238E27FC236}">
              <a16:creationId xmlns:a16="http://schemas.microsoft.com/office/drawing/2014/main" id="{8C234A62-FC97-4B36-8F79-21EFBC20F5D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71" name="箭號: 向右 187">
          <a:extLst>
            <a:ext uri="{FF2B5EF4-FFF2-40B4-BE49-F238E27FC236}">
              <a16:creationId xmlns:a16="http://schemas.microsoft.com/office/drawing/2014/main" id="{67F3BF66-B1D5-4066-851A-FFC22477323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72" name="箭號: 向上 117">
          <a:extLst>
            <a:ext uri="{FF2B5EF4-FFF2-40B4-BE49-F238E27FC236}">
              <a16:creationId xmlns:a16="http://schemas.microsoft.com/office/drawing/2014/main" id="{D248F6D4-47CC-4C0C-A1FF-6D8045C2696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3" name="箭號: 向下 119">
          <a:extLst>
            <a:ext uri="{FF2B5EF4-FFF2-40B4-BE49-F238E27FC236}">
              <a16:creationId xmlns:a16="http://schemas.microsoft.com/office/drawing/2014/main" id="{0C98CDE4-07C6-4E37-A409-AA034159B74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74" name="箭號: 向右 187">
          <a:extLst>
            <a:ext uri="{FF2B5EF4-FFF2-40B4-BE49-F238E27FC236}">
              <a16:creationId xmlns:a16="http://schemas.microsoft.com/office/drawing/2014/main" id="{66397A54-9032-4976-B089-AA8FEF2B1BA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20603</xdr:rowOff>
    </xdr:to>
    <xdr:pic>
      <xdr:nvPicPr>
        <xdr:cNvPr id="75" name="圖片 1">
          <a:extLst>
            <a:ext uri="{FF2B5EF4-FFF2-40B4-BE49-F238E27FC236}">
              <a16:creationId xmlns:a16="http://schemas.microsoft.com/office/drawing/2014/main" id="{AA64D6EB-2340-45A9-8D1C-85FD57CAB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672F40FE-CCC1-432D-9F74-164B94CAF15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19347EB0-127F-42CF-8E25-C7D611338881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F297830B-554D-4BBC-9A03-6E77C238C20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42055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7577B723-642B-42A9-AA48-6EE63027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2D172CD4-5D41-4E36-B3B5-378BEDDD972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AF3118E2-D20C-47E0-9F78-44BE2828651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66794B96-8A0C-4ACA-8615-7F590042133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83BD390D-A0A6-46DC-A64F-BD41D0DD3A8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20199A77-78DC-463A-845A-BA917105D24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5216C226-7B5B-4E55-A062-7E6E785D931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0E4AD400-12FA-48A6-892E-4A5F06B8244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1A9486D8-FAAD-4C40-AB69-713FF46FD52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60BA2FCA-F3D8-4ED4-8DF2-C3121BC0B52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F030BA40-048F-4F35-95AC-221152DB2CB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FF28A49E-4CFC-4190-9ACA-A347CECDFD7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BE7B6F8D-C5CA-4DF3-B05B-E871B3A7728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4CCD48BD-EC18-47B6-BEC9-B46B678AE13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7BE902CF-98B2-4ACC-9E36-3F39B993A55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840C5550-1455-4829-9DBC-08A378C0C71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7EBCE89F-426F-43B0-87C3-32B45AA84D3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D6E9FEB3-ED2A-49DF-BD8E-5F788AF28FA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35130832-0F27-4DA2-ABD8-DFBC220C9E6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A2FC19DA-2550-4296-B9B6-347B2ACC628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B4FC1ACE-3D0B-4A20-9552-9B3E42BB07E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16D83CC4-02E8-4950-BEF8-786CD55F419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733581FB-CE72-4F3D-87C1-84CCEA26FE5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25272179-2AE0-431C-ABB7-FECC2117855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C6A6FA38-CED0-47D8-AACF-4ED94710329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3F235FC3-7283-4DE4-BCE7-769615C42E9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B8C27D92-AD89-4C75-B89F-FA40DA572941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696D3F73-D71D-4FC1-9F1D-6D00EAF39CD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36F868FD-1884-47C8-8F9C-E5FE62CEBE0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F0F6FEBF-C726-41FB-A870-EE035700368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694CE6A5-012C-46FE-B83B-43536161EC1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005320E5-CC51-4F1E-9389-5AC3DAFAD25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5E686DD0-E661-4199-B648-8A2AEF8FBFE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83CB7196-91BD-44A6-AC02-A6ABA883650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23005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66918C8D-8502-4D2F-9A8C-278DEBC21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E97E7347-740F-4DEA-A413-FEABD3285A8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6532CBD3-6403-4E68-A42B-C41AE40D51F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DE18E26B-1406-4C3E-99A7-110F653D51D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42055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DC43BD6A-EA0A-446A-94AB-1CE33CAC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63A26604-870F-4D27-84F7-E430A1F71EC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25BF4D18-CC76-4C00-A14D-423EE022C60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09F98B75-4479-4DEF-AA1A-91592EB4648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3B426C41-A792-4308-9FA8-2267A77E1D5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41CBAB93-86F2-477B-9BF2-30300EAC640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F3D85A10-60E5-406A-9C18-F06B6E519AF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076488E6-1883-4967-BCEC-B83F4C0CF45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199267BF-7018-4034-A698-8DE3C3CA97F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773369EA-8F8F-4DE1-A934-123E7A01D66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F3D77B7F-09AD-4ABB-8AF5-ED33371367D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DC3B78BC-155F-4BF7-82CB-FB024D40CD71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AE3DC7EB-277A-420C-BE75-10B1EAD9965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22C10267-B954-4006-984A-D5F60D1F42E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FEB5E11B-2FAE-4019-A6FF-C5ED4F7403B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9A5DCCB3-CFD1-4F8E-A0A7-C6C802A5815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DFA5357E-7239-448F-91C7-E2A4301262B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80A5C236-D017-4A78-B1C3-DCB1F780CF7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54DE1010-1DFC-4C73-9535-98915C6F199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03D5F088-DD3E-415A-A63C-A501D49DA7C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729394A7-74D3-4136-8FC0-290CFA40142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AFF69ECC-0E83-4C2A-A955-E0FD4E795C8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4FE2BF39-5CA6-4768-AD28-3C83E47CB22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50867721-8FE1-4C06-8455-B146D82BCB23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45BB13EA-13CB-4281-895D-42C0E0AA6DD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CD65C9F6-CC77-401D-912F-CA1E20CEF35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3CE63D3E-857B-4A69-9904-5304164EDEF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FD7D2434-AD2B-4D23-ADEA-18DA57E23D16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9CE9E8A2-86D3-4ADA-9558-97587AB6CEA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9352DECC-36CB-40A5-BD35-70F500E1616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57685F74-F8BF-4E40-AB5A-1800103CE66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E7660262-0D3A-405E-B4EB-62496AD0965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7BFCD862-C378-4AD0-89D9-3D0F47D4EBA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665FA62B-62DF-4973-909D-91AD6FCD7E2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23005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9CB2748E-9648-403C-AE01-675DCA9E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91EADB61-B84A-4764-9D8F-8965FC9B17F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46F523D9-E71A-4A91-9E2A-74253BDE596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B226AEBD-D7D5-4F45-981A-488CDDDE299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42055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36464434-1E9B-407D-82A5-216C9AD62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6B3E67C1-BF67-40BA-A452-5A3803DEB5D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A5A8998E-3DA1-40F2-A91C-A669212F63B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9844AFEE-2AFA-4E48-BCB1-62DDC400590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E9459CE0-F40B-4D67-BB1E-1C4D72D4499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A7B1BC7D-0058-45FE-BBE8-EE5B369DEDF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786575ED-60B6-4FF9-BC82-FE99A9D0AB5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23B06434-7E9E-4CE9-A668-ACDE75DC3C8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B4CE5428-A62D-46BD-9A37-3CBF8C0C17D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BAF1D27B-095E-4E81-A455-221AAE39E7D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D2C35EB6-1A36-4DCC-B8B5-E18816AAC29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B1B0B278-654E-4D9D-9A0E-F3CF692F77E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EE3C2252-3261-4DBA-A58F-2FA6680D436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0E6B2658-AC22-4AD1-A7C0-E59D2159916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91B05FC2-0AEA-47F7-8BA4-568A488BF3E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4752DA3A-7DC5-498C-BADB-E6A89A6B6D4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25BE1157-5068-4C8F-A193-B83F46EC3E3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063E3A9F-328B-44BC-9133-392E65C2AD4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C43EA42F-235E-4E04-B671-947AABA306E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8239137A-556D-4150-A2F6-27B40B81217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2F26C8AE-5D28-40BD-B9B6-B99AC8A636A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6ECAA2D6-018C-426D-929F-8354982456A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582F39AD-E942-4D23-813D-3DF65E2AF10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60549CA6-C37F-4751-9B47-F633BF5BA5E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F22A5B2D-765D-4A01-A564-46FB79A2EBE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7C9E0D6A-ECE0-4D8F-A94B-A944EA743BA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C8B4089F-DAA0-48FA-AEB1-0D00610B557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15D36835-B8B6-4151-AAAE-54A2F41EF58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E9CF92F8-EE37-420B-A5DA-E61EAEFDE5F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B52FA234-C3BD-41DF-860D-72F7D6FEBD5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A959F9F7-E787-41AA-BB38-448B19DED69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6C8388F5-F872-420D-9D1B-C60B2D72616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CA407937-2180-4808-A249-366C051C2B2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76F95A58-10DA-4D70-ACE4-A2BA82B0897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23005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5F0D7D4F-3656-4996-91D4-A1659FDC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98C3ED3B-C90F-4FE9-8C02-0ECADB2B292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93776D14-0B0D-4984-B155-59126DC861B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31117256-78E8-46E5-A412-19C1A936BDE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42054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A3E2E6D0-8FD6-4391-8B2C-C049ADF57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1A8CEEAB-F67F-48AA-ACB2-7A69D331E78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5F3F72B8-24FC-4A53-A1AA-FFA30AF3D4A5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A253C246-7ACB-41BB-93EA-647A5F8C6F46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170FE66B-425B-4FF8-BDDB-315130CF3C4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13EBA692-9836-4B9A-9EF7-A6B051F3FC6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39E46F54-E91B-4471-813C-4D22CFBA31A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6C5897B4-D662-440A-9E4D-58AC09105E2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2B669ED1-0B19-4C33-9BBE-6E4476F2652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D974A40B-68B8-4582-81A8-4CE576F4D0F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9300B454-13AC-4A89-9F0B-97E879B6856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9A16BBA8-EE96-4903-B63C-96D6C59D7EB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1C31C376-5F6D-4C80-8569-881B4EAD145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9CD01D15-E1D2-47E2-9C03-66CCAE53202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8281659A-A061-46B1-80A4-89B2EB94FAE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CBAAD0E5-8C20-478D-BFCC-FF271F6A697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51A0073A-1BD8-4CB4-981F-75CB39C269C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A360DA5C-A519-4742-8A99-DA1B9396FF6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D00C984A-131C-4AB9-A1C1-0F9BF097B1E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0CC59F84-6EC1-4990-A6B2-059D09B496B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02D380FD-3C93-4C98-8211-05BCCB95685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2797B3DA-919E-4A80-A331-84F62DB35AC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814BF9FE-219E-4983-9EF3-3E9505E21970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E13D785F-1483-4E6D-ACE1-E75CFBBE24F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834D4BEF-4915-4661-9F08-A68BE610393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6B183F0C-D149-4B29-8800-335A4229432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4EB8E0A6-664D-4086-99DA-AD82A6E4C5F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8C8FC0DB-9260-4D73-9ACD-19AF28ECF04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A4B79B64-285C-4124-8A67-F6ED74C7BDD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76693BDA-730A-4AAB-9BED-B178106DFA3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377C99BB-D0CE-4377-A66B-54DB1CFCF44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E38764D4-E258-4B6B-9629-7C3ED5261AF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4CB283D9-923C-4847-B045-BF05CB9F1D9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8C197E61-295C-40B0-A76E-59DE0BDFF66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23004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E4695150-632C-4AFA-A405-D6A6C987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9" name="箭號: 向上 117">
          <a:extLst>
            <a:ext uri="{FF2B5EF4-FFF2-40B4-BE49-F238E27FC236}">
              <a16:creationId xmlns:a16="http://schemas.microsoft.com/office/drawing/2014/main" id="{E1C2436F-D67F-4EDA-808F-78F855EC6E1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0" name="箭號: 向下 119">
          <a:extLst>
            <a:ext uri="{FF2B5EF4-FFF2-40B4-BE49-F238E27FC236}">
              <a16:creationId xmlns:a16="http://schemas.microsoft.com/office/drawing/2014/main" id="{5704DBBF-10F2-43C9-A128-FB55D8A4D84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1" name="箭號: 向右 187">
          <a:extLst>
            <a:ext uri="{FF2B5EF4-FFF2-40B4-BE49-F238E27FC236}">
              <a16:creationId xmlns:a16="http://schemas.microsoft.com/office/drawing/2014/main" id="{76131AA1-9451-401B-9058-B48B7983F37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42054</xdr:rowOff>
    </xdr:to>
    <xdr:pic>
      <xdr:nvPicPr>
        <xdr:cNvPr id="42" name="圖片 1">
          <a:extLst>
            <a:ext uri="{FF2B5EF4-FFF2-40B4-BE49-F238E27FC236}">
              <a16:creationId xmlns:a16="http://schemas.microsoft.com/office/drawing/2014/main" id="{5DDD5DDD-E0B4-4634-AF5B-02CABE5E4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3" name="箭號: 向上 117">
          <a:extLst>
            <a:ext uri="{FF2B5EF4-FFF2-40B4-BE49-F238E27FC236}">
              <a16:creationId xmlns:a16="http://schemas.microsoft.com/office/drawing/2014/main" id="{3EC75FC0-44D8-4E74-AE7F-9B3A20074F6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4" name="箭號: 向下 119">
          <a:extLst>
            <a:ext uri="{FF2B5EF4-FFF2-40B4-BE49-F238E27FC236}">
              <a16:creationId xmlns:a16="http://schemas.microsoft.com/office/drawing/2014/main" id="{67EE526B-7636-40F9-A06D-FE994A30F9E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5" name="箭號: 向右 187">
          <a:extLst>
            <a:ext uri="{FF2B5EF4-FFF2-40B4-BE49-F238E27FC236}">
              <a16:creationId xmlns:a16="http://schemas.microsoft.com/office/drawing/2014/main" id="{CEC807B4-E7B0-4651-8DC6-6180817412D6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6" name="箭號: 向上 117">
          <a:extLst>
            <a:ext uri="{FF2B5EF4-FFF2-40B4-BE49-F238E27FC236}">
              <a16:creationId xmlns:a16="http://schemas.microsoft.com/office/drawing/2014/main" id="{A7E01EA8-8C62-4BB5-90DC-469DB146FD1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47" name="箭號: 向下 119">
          <a:extLst>
            <a:ext uri="{FF2B5EF4-FFF2-40B4-BE49-F238E27FC236}">
              <a16:creationId xmlns:a16="http://schemas.microsoft.com/office/drawing/2014/main" id="{74738E30-2046-4807-9323-E549C409834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8" name="箭號: 向右 187">
          <a:extLst>
            <a:ext uri="{FF2B5EF4-FFF2-40B4-BE49-F238E27FC236}">
              <a16:creationId xmlns:a16="http://schemas.microsoft.com/office/drawing/2014/main" id="{EA90D894-A84E-4508-BB5A-29AF8A39DA0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49" name="箭號: 向上 117">
          <a:extLst>
            <a:ext uri="{FF2B5EF4-FFF2-40B4-BE49-F238E27FC236}">
              <a16:creationId xmlns:a16="http://schemas.microsoft.com/office/drawing/2014/main" id="{5E157965-AC10-4778-94C1-C373F0DD51F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0" name="箭號: 向下 119">
          <a:extLst>
            <a:ext uri="{FF2B5EF4-FFF2-40B4-BE49-F238E27FC236}">
              <a16:creationId xmlns:a16="http://schemas.microsoft.com/office/drawing/2014/main" id="{7BB7F132-79F9-4673-B582-5D667EA3A95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1" name="箭號: 向右 187">
          <a:extLst>
            <a:ext uri="{FF2B5EF4-FFF2-40B4-BE49-F238E27FC236}">
              <a16:creationId xmlns:a16="http://schemas.microsoft.com/office/drawing/2014/main" id="{CC621144-2C91-4EF3-8079-B1FE99A61A3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2" name="箭號: 向上 117">
          <a:extLst>
            <a:ext uri="{FF2B5EF4-FFF2-40B4-BE49-F238E27FC236}">
              <a16:creationId xmlns:a16="http://schemas.microsoft.com/office/drawing/2014/main" id="{AD6FACB4-DFFD-4EA3-B2D5-FA3EF296D23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3" name="箭號: 向下 119">
          <a:extLst>
            <a:ext uri="{FF2B5EF4-FFF2-40B4-BE49-F238E27FC236}">
              <a16:creationId xmlns:a16="http://schemas.microsoft.com/office/drawing/2014/main" id="{B880C6FE-4E00-4216-9D97-B9150E470B25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4" name="箭號: 向右 187">
          <a:extLst>
            <a:ext uri="{FF2B5EF4-FFF2-40B4-BE49-F238E27FC236}">
              <a16:creationId xmlns:a16="http://schemas.microsoft.com/office/drawing/2014/main" id="{65C0A461-C193-4C63-B8A5-44BDD9E5D12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5" name="箭號: 向上 117">
          <a:extLst>
            <a:ext uri="{FF2B5EF4-FFF2-40B4-BE49-F238E27FC236}">
              <a16:creationId xmlns:a16="http://schemas.microsoft.com/office/drawing/2014/main" id="{2F0D70F1-022A-4332-BF4C-4D7F4511C93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6" name="箭號: 向下 119">
          <a:extLst>
            <a:ext uri="{FF2B5EF4-FFF2-40B4-BE49-F238E27FC236}">
              <a16:creationId xmlns:a16="http://schemas.microsoft.com/office/drawing/2014/main" id="{B6D5BA95-4003-44F5-AE9E-945BA38741C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57" name="箭號: 向右 187">
          <a:extLst>
            <a:ext uri="{FF2B5EF4-FFF2-40B4-BE49-F238E27FC236}">
              <a16:creationId xmlns:a16="http://schemas.microsoft.com/office/drawing/2014/main" id="{A717F49F-5C2C-4BF8-A5F9-BC8430AE593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58" name="箭號: 向上 117">
          <a:extLst>
            <a:ext uri="{FF2B5EF4-FFF2-40B4-BE49-F238E27FC236}">
              <a16:creationId xmlns:a16="http://schemas.microsoft.com/office/drawing/2014/main" id="{DC317068-7DC8-43CB-9210-8450026D686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59" name="箭號: 向下 119">
          <a:extLst>
            <a:ext uri="{FF2B5EF4-FFF2-40B4-BE49-F238E27FC236}">
              <a16:creationId xmlns:a16="http://schemas.microsoft.com/office/drawing/2014/main" id="{13ED11DE-BD88-44CA-A22B-3A5DF218141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0" name="箭號: 向右 187">
          <a:extLst>
            <a:ext uri="{FF2B5EF4-FFF2-40B4-BE49-F238E27FC236}">
              <a16:creationId xmlns:a16="http://schemas.microsoft.com/office/drawing/2014/main" id="{62C255C1-8B3C-4714-AC48-D94B96A98FA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1" name="箭號: 向上 117">
          <a:extLst>
            <a:ext uri="{FF2B5EF4-FFF2-40B4-BE49-F238E27FC236}">
              <a16:creationId xmlns:a16="http://schemas.microsoft.com/office/drawing/2014/main" id="{1EE623DE-5A35-49F0-998B-95F099A81AC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2" name="箭號: 向下 119">
          <a:extLst>
            <a:ext uri="{FF2B5EF4-FFF2-40B4-BE49-F238E27FC236}">
              <a16:creationId xmlns:a16="http://schemas.microsoft.com/office/drawing/2014/main" id="{52ACAC79-8EBE-4A95-939C-795E00C5191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3" name="箭號: 向右 187">
          <a:extLst>
            <a:ext uri="{FF2B5EF4-FFF2-40B4-BE49-F238E27FC236}">
              <a16:creationId xmlns:a16="http://schemas.microsoft.com/office/drawing/2014/main" id="{A432A4A0-2E40-4232-9415-B1909ACC38D3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4" name="箭號: 向上 117">
          <a:extLst>
            <a:ext uri="{FF2B5EF4-FFF2-40B4-BE49-F238E27FC236}">
              <a16:creationId xmlns:a16="http://schemas.microsoft.com/office/drawing/2014/main" id="{A47AD4AF-F5A1-4841-9A65-B14B3F22951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5" name="箭號: 向下 119">
          <a:extLst>
            <a:ext uri="{FF2B5EF4-FFF2-40B4-BE49-F238E27FC236}">
              <a16:creationId xmlns:a16="http://schemas.microsoft.com/office/drawing/2014/main" id="{C538BE5B-2EEF-490E-9BD0-4A0F0FA625C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6" name="箭號: 向右 187">
          <a:extLst>
            <a:ext uri="{FF2B5EF4-FFF2-40B4-BE49-F238E27FC236}">
              <a16:creationId xmlns:a16="http://schemas.microsoft.com/office/drawing/2014/main" id="{842E433B-4A43-442E-833B-06A77D4674D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7" name="箭號: 向上 117">
          <a:extLst>
            <a:ext uri="{FF2B5EF4-FFF2-40B4-BE49-F238E27FC236}">
              <a16:creationId xmlns:a16="http://schemas.microsoft.com/office/drawing/2014/main" id="{44D3BF5B-BF36-4710-B97B-C5DB15615CA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68" name="箭號: 向下 119">
          <a:extLst>
            <a:ext uri="{FF2B5EF4-FFF2-40B4-BE49-F238E27FC236}">
              <a16:creationId xmlns:a16="http://schemas.microsoft.com/office/drawing/2014/main" id="{3D652300-8EAC-4404-81D1-5FDBFCD6586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69" name="箭號: 向右 187">
          <a:extLst>
            <a:ext uri="{FF2B5EF4-FFF2-40B4-BE49-F238E27FC236}">
              <a16:creationId xmlns:a16="http://schemas.microsoft.com/office/drawing/2014/main" id="{43D51416-97E7-428F-B782-7BE3D2DA037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70" name="箭號: 向上 117">
          <a:extLst>
            <a:ext uri="{FF2B5EF4-FFF2-40B4-BE49-F238E27FC236}">
              <a16:creationId xmlns:a16="http://schemas.microsoft.com/office/drawing/2014/main" id="{B1C33A04-AB79-4CAB-AE9B-27B79DDD24B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1" name="箭號: 向下 119">
          <a:extLst>
            <a:ext uri="{FF2B5EF4-FFF2-40B4-BE49-F238E27FC236}">
              <a16:creationId xmlns:a16="http://schemas.microsoft.com/office/drawing/2014/main" id="{35C2B699-E749-4892-AF59-5CB956BAE2C1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72" name="箭號: 向右 187">
          <a:extLst>
            <a:ext uri="{FF2B5EF4-FFF2-40B4-BE49-F238E27FC236}">
              <a16:creationId xmlns:a16="http://schemas.microsoft.com/office/drawing/2014/main" id="{23EA0C23-6D96-4730-9EF4-61446581FF2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73" name="箭號: 向上 117">
          <a:extLst>
            <a:ext uri="{FF2B5EF4-FFF2-40B4-BE49-F238E27FC236}">
              <a16:creationId xmlns:a16="http://schemas.microsoft.com/office/drawing/2014/main" id="{14193A40-D95C-4E8A-A6D3-3A07A837125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4" name="箭號: 向下 119">
          <a:extLst>
            <a:ext uri="{FF2B5EF4-FFF2-40B4-BE49-F238E27FC236}">
              <a16:creationId xmlns:a16="http://schemas.microsoft.com/office/drawing/2014/main" id="{8182D872-C31C-4616-BAB5-13E597C7693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75" name="箭號: 向右 187">
          <a:extLst>
            <a:ext uri="{FF2B5EF4-FFF2-40B4-BE49-F238E27FC236}">
              <a16:creationId xmlns:a16="http://schemas.microsoft.com/office/drawing/2014/main" id="{71FBA716-8F03-44D6-892B-A7B6D707AAD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CDE07F4-7AF7-441B-84DF-88D03A81B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275100DA-90DA-4223-A474-55BD591B442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2ECB6D31-93AC-4815-A73A-F535EB94DE8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16EFC874-BAC9-44B1-8FE2-84BEFF5F390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42054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A3CE69ED-3C23-4598-9709-D39BA9066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D2A1666F-F69F-45C9-9C78-BA48D57E02D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66873174-6EE8-4CCC-9C3C-3B84B042031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79F6A358-547B-434C-A837-A75505F75D1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65CC0BA4-E10C-465B-B232-AE5C2D1A159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ABCC31F8-85AD-4561-A760-58AF84B6D43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7F5A00DE-056E-4483-9BA4-8145086F5F6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CF05BA71-A1C7-4D76-916A-86EE0761FC44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0DBAE4E5-F452-470F-A916-6B8625E1291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8AEF65D0-DAFE-4D1A-8D13-71F6E76EEAB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3C5BBEE7-5800-4234-98A7-A0A798F2B3C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46AE691E-4C45-462A-AA43-1B3C43D03F15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F3312CC1-731C-4D4B-B8A6-F8D06AD8692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005AB665-F08A-4B7B-BBC9-CAFF2D2174D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E52226D9-A76A-4375-936D-A343A95BB48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1B439A5A-1E70-4866-B77E-32C7360B5F2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36259DD4-3EE8-4CCA-8A04-1A08D2C94994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3F9FB692-B6C7-4658-AA39-EAA4A2990833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0F834154-0095-43D9-AAA3-44A28F07BC6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1CD45ACC-4903-40CD-8BBD-5D1639020A8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50E1E688-B7CB-47A7-97EF-87B5667C86F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628ECC8B-5F1E-4511-8353-AF9E24A9900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51794946-0390-404D-81C4-E062789913E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3A116FA8-609B-46C4-AB00-D290B6490BE3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09AA2A7C-B57D-487D-8A4C-553363F8E81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A9A45C80-AAF5-4392-9854-43DE4C71315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BCD8E12A-4D4C-4968-A40E-339DB7C4A99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9965791C-A29F-4780-998A-8891800EA84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DE11267B-C524-4040-A91D-13C0289AB89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CD908D99-107C-4768-87B5-AD5972B66B7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ADECFC91-E55B-42D8-A2DD-831F84674A6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74109BD7-DA9B-4107-9280-3978E301046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286E3BB1-181A-485F-8964-EEDE9BB7BCA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5A4E9382-0607-4F5D-8E2A-4E7F9739AEF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23004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1C7509A4-B691-4481-86AF-85AC23EA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203BC57C-23CB-4CDA-8540-4CCCDE4A03CA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F4347BF1-E286-492B-B0C8-56051615D68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D7E7C03B-7BE9-4E6F-B0D8-7ECE4A5119E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42054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AB3FBE1D-9EF8-4E19-870B-CC769EF1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DECF53FF-3B2E-484F-89A2-A0496994BFE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6257F894-22D9-4201-A149-356FC7B35CF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6F1D2F59-B2D6-47D7-9C06-95C8570FE07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FCD04425-D90E-4A82-93B2-68FB86B1EC7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30C1662D-225B-4B3C-85BF-BC1A0343C42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E1772D14-2031-48CA-804F-D652AB4E389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0BEDA252-CCA8-4276-9DE1-80D14889D640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A2E8BE44-3D2D-4537-BBAF-74E66B2FE08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613BCDCD-E4DD-46E9-8A6F-94C02FB8B46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5C1E2857-5468-4ACF-9709-F4524AE769F0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B2BFBB6B-D36A-4461-A780-2848944F53F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9881465D-8855-4FDF-9818-4B667AC3BC6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4D1F8F64-26F7-4369-B8D6-9CED2830994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ABB3DE48-C845-4EBA-8D59-31FCA387FEA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45A888FB-5001-4707-8E1C-4B130BB9351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18EF0CB1-9D7C-4D53-8B27-011D8D17D66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74FC799D-BF83-4F0A-B9F2-6496BB97CF52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7199BCE0-136B-4173-ADE4-FA3E7D96423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B65E98A8-762D-4E05-A564-750657BF64E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05CADC8F-FD5B-4F54-B6A4-A6C338DC760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C1CF311A-8AE2-4593-86C4-A43B702A05F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2D138E7F-A3A8-4B7C-BDF3-37DE633BB658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66C7AECD-4FA3-4621-8A18-91DD6CB709D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4F56FA1B-66BE-4CEB-80B1-BD0AF47F9E6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41378B74-475B-451C-94D8-D7B21AF8B9E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B7679CCF-389D-48B8-B191-FBD3D41FAB9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5EF6FB50-0271-43A7-814C-3F8B0C9BD7C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F78F5DC1-9373-42DA-A578-78D817A3DDD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D6AF9624-E7B1-4E02-84B6-EC8B0A862573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141E06CE-CAC3-4652-8A5F-54401223D13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0B3F836C-8819-4130-B293-C7BD7C5F12B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7FC37502-0B03-4C00-9C4F-F02C78EDC86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34022215-97AF-4BCA-B847-F0DFCDF664E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23004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E3FC82B6-3466-4DE6-A781-D08B46C29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CF096B51-C462-4B62-BB32-063855B916BF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849E3FDB-FA30-4C85-A045-4F94F62AFAE1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5F7EFC49-DD85-4AA1-B913-DE609F3F7CE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42054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D1A08249-021C-4D21-AD53-C3C43AD9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02FDAE0F-578B-4F1B-9D97-A6C77636755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ED98E506-C3C4-4AFF-809E-755946895A0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512E32D3-199F-4A77-B7C4-F1E28A9EB55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CD605EC1-5B29-491F-9DD0-85BB532C1E89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8F52563F-D84A-4732-9743-3CF2D9A720D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A9986BB2-91D5-46B4-8392-4A69F670384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99F2CC6C-93D0-4587-BDF0-5D1312C2981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1C7968D3-DDE5-4B48-936D-3EE31836C61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C7EBA527-6DB0-4DF8-A4E4-BBCD322BE1E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E47D0C01-B6EB-4FF9-91AC-89B630C43870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F605C179-7076-44D6-AF92-1DDEA3080BE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F4435ADE-AD49-448D-8AA8-8467AB5B07B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A55BB60B-BEA8-4C88-8936-20CEBE88E944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381DE9DF-3BBD-4D75-A0B3-79C2886A2985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7E5200DE-ADB2-47B4-A642-87E8A29581A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C18C9506-F4B1-4135-9511-C81E500F651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3B29DF5E-38ED-4531-8267-455DF196318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4F501BD2-E376-4943-9A57-03113649B6AC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EDFC3AE6-CB19-410E-B9FF-3B14CE30393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8C2340E2-0188-4723-832E-CFE04F74307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BDC4838D-BD54-48AD-82D8-D50C3FEA840B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2F453D1E-7E71-4A69-B5A7-E9D8E57941C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927283B0-FA0E-4D78-A900-A71B82C667F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1B4FB3E3-6509-4836-AB1B-87DBCE73614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42695F35-EEA8-4F8C-AA1C-64083BDEAE4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D283C586-9C17-4CD4-92A7-2871FB8DCFC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8446C04F-4349-4D2D-86C6-6ECA8C020BC3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0A7AD3BE-1FCE-48F8-B92B-0AA069FA5BB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7A8390D7-FA33-434A-8ED3-BD8647625BA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AEDB1B2A-3B6A-49EB-BDBB-EFE20F50990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401152B5-21CD-4C60-B74E-973DDC7DFFD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75FC4788-57B5-4CC7-A495-9DE702A7CE8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92EA68DD-0D39-42F1-8C31-74B38A5047E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23004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3C72E7EF-0064-46C0-A69C-80971EFF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FA9BC019-1A1D-4A64-A0F3-33E2254C58B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85419B00-D10C-4593-8FFD-D876DEC979D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186DE6C0-38ED-4162-917E-47B8EB690D0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42055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67F4EB83-CAE4-402F-9B02-CE2B002F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42E84F10-A15D-4273-B59E-5F0A383D63D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81681446-3AB4-4829-83D7-AF4CA12E096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79072B4A-D2F8-40A4-A03A-AD950D93741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41887B58-02B4-4157-A0D6-FB25E105E2D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AD78E6BB-C25B-4E96-801A-F4571392650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10C00BBA-1A6D-42DF-9FDF-8EBC1FA78D5E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11086651-0032-4168-A53C-F79A47E03EBE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84315742-F759-4B74-8EBF-9A3CE7F514F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0556EB6F-17C1-46BF-9A7A-78B10ABEA090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431EBCF6-DA4A-40B7-A9D9-08DA97F95C7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2F78ABAB-87E4-43EA-9E46-E52811B226AE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562F1AE7-4AAF-4266-9951-B0B2130DD061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D6A8A302-E0B4-48F5-94FF-CDA79DB2FE7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C7E48D58-D311-4FA7-A4F4-D78CE972725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24553551-9376-4A8B-A0CE-19328B37D49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7AEB2932-DD88-4242-B832-636A4583359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117221BC-9292-49B7-9B2F-C6C93BC346F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4272A886-15A8-40B8-99AD-DBF272DB8C8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CA9984D8-B3E4-4EE1-AD5B-D5FF225776F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14275F75-918E-4D5B-8B6E-3D7C11B17AA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B9B309B3-0C10-4FF5-B92D-3D3ECA953B37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396C17A8-74EC-4440-AD4B-3FD95D84861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307FA589-2742-41B1-B5A2-D8E66A5FC70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627C6D29-0FFE-4B49-855C-471A63AAF3F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68DA044C-2F13-46B0-8403-AB6CD08B2115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2E534C2B-AB65-46A1-8CF0-95793716AFC9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AC8FD35E-5C81-41AE-AB91-18A4DE85489A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BFE59696-9DEA-40EF-B4C5-B976B05D4B2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CD97D926-B7D9-43CC-A548-FC16F0233FA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F4B9A48D-CC6E-4AA8-A50E-08A57EB307E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069DCBFD-0174-4DD6-9F1B-D047DE6DD5C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4DB4762A-2644-4D75-B92F-3874B9726B0F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CCA09008-1C52-4A89-B085-62ADEAC2985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23005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25C05B7F-CD43-444A-A6A3-3CF2469AB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" name="箭號: 向上 117">
          <a:extLst>
            <a:ext uri="{FF2B5EF4-FFF2-40B4-BE49-F238E27FC236}">
              <a16:creationId xmlns:a16="http://schemas.microsoft.com/office/drawing/2014/main" id="{374DBC90-8236-415B-B63A-B9B6DA0D65B3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" name="箭號: 向下 119">
          <a:extLst>
            <a:ext uri="{FF2B5EF4-FFF2-40B4-BE49-F238E27FC236}">
              <a16:creationId xmlns:a16="http://schemas.microsoft.com/office/drawing/2014/main" id="{169DBB8B-C97C-4A4F-AF03-7FC589CDA1D0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4" name="箭號: 向右 187">
          <a:extLst>
            <a:ext uri="{FF2B5EF4-FFF2-40B4-BE49-F238E27FC236}">
              <a16:creationId xmlns:a16="http://schemas.microsoft.com/office/drawing/2014/main" id="{ECF55CBB-6FDA-4A1A-BB9B-5AB85B22CAE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42055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19E0F93F-C651-4949-9693-80D02D57B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6" name="箭號: 向上 117">
          <a:extLst>
            <a:ext uri="{FF2B5EF4-FFF2-40B4-BE49-F238E27FC236}">
              <a16:creationId xmlns:a16="http://schemas.microsoft.com/office/drawing/2014/main" id="{F45C7140-CB80-4226-AFCA-C0E76DA4CAC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7" name="箭號: 向下 119">
          <a:extLst>
            <a:ext uri="{FF2B5EF4-FFF2-40B4-BE49-F238E27FC236}">
              <a16:creationId xmlns:a16="http://schemas.microsoft.com/office/drawing/2014/main" id="{AFE3EE18-816D-424F-BE05-668C42369E76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8" name="箭號: 向右 187">
          <a:extLst>
            <a:ext uri="{FF2B5EF4-FFF2-40B4-BE49-F238E27FC236}">
              <a16:creationId xmlns:a16="http://schemas.microsoft.com/office/drawing/2014/main" id="{27279D4A-6DF6-4391-A383-F2C2936DCDA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9" name="箭號: 向上 117">
          <a:extLst>
            <a:ext uri="{FF2B5EF4-FFF2-40B4-BE49-F238E27FC236}">
              <a16:creationId xmlns:a16="http://schemas.microsoft.com/office/drawing/2014/main" id="{12A6C621-4B9D-4591-9EDB-F5E6F675E83D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0" name="箭號: 向下 119">
          <a:extLst>
            <a:ext uri="{FF2B5EF4-FFF2-40B4-BE49-F238E27FC236}">
              <a16:creationId xmlns:a16="http://schemas.microsoft.com/office/drawing/2014/main" id="{85E72907-491F-450B-BE45-D6D4782C19CC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1" name="箭號: 向右 187">
          <a:extLst>
            <a:ext uri="{FF2B5EF4-FFF2-40B4-BE49-F238E27FC236}">
              <a16:creationId xmlns:a16="http://schemas.microsoft.com/office/drawing/2014/main" id="{DCE424D4-04EC-4456-8581-991CDB38D978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2" name="箭號: 向上 117">
          <a:extLst>
            <a:ext uri="{FF2B5EF4-FFF2-40B4-BE49-F238E27FC236}">
              <a16:creationId xmlns:a16="http://schemas.microsoft.com/office/drawing/2014/main" id="{84EEB973-160A-4D55-970E-444803B7219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3" name="箭號: 向下 119">
          <a:extLst>
            <a:ext uri="{FF2B5EF4-FFF2-40B4-BE49-F238E27FC236}">
              <a16:creationId xmlns:a16="http://schemas.microsoft.com/office/drawing/2014/main" id="{D946459B-9B72-4350-A9A2-A6CEED04C315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4" name="箭號: 向右 187">
          <a:extLst>
            <a:ext uri="{FF2B5EF4-FFF2-40B4-BE49-F238E27FC236}">
              <a16:creationId xmlns:a16="http://schemas.microsoft.com/office/drawing/2014/main" id="{2673635E-5F48-4BFC-A8F5-CB594AD8E98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5" name="箭號: 向上 117">
          <a:extLst>
            <a:ext uri="{FF2B5EF4-FFF2-40B4-BE49-F238E27FC236}">
              <a16:creationId xmlns:a16="http://schemas.microsoft.com/office/drawing/2014/main" id="{BFFEE930-CCEE-48C3-86A8-5574378A80B1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6" name="箭號: 向下 119">
          <a:extLst>
            <a:ext uri="{FF2B5EF4-FFF2-40B4-BE49-F238E27FC236}">
              <a16:creationId xmlns:a16="http://schemas.microsoft.com/office/drawing/2014/main" id="{3F20CECA-8D05-4B96-A26D-930AC10FB33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17" name="箭號: 向右 187">
          <a:extLst>
            <a:ext uri="{FF2B5EF4-FFF2-40B4-BE49-F238E27FC236}">
              <a16:creationId xmlns:a16="http://schemas.microsoft.com/office/drawing/2014/main" id="{44B2501C-36E0-4A33-B3C8-8604206F532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18" name="箭號: 向上 117">
          <a:extLst>
            <a:ext uri="{FF2B5EF4-FFF2-40B4-BE49-F238E27FC236}">
              <a16:creationId xmlns:a16="http://schemas.microsoft.com/office/drawing/2014/main" id="{C206C8C2-B48C-45CF-8356-AAA9FDF786B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19" name="箭號: 向下 119">
          <a:extLst>
            <a:ext uri="{FF2B5EF4-FFF2-40B4-BE49-F238E27FC236}">
              <a16:creationId xmlns:a16="http://schemas.microsoft.com/office/drawing/2014/main" id="{17CE9659-E0D8-40E8-9CB4-B0EEA375F1BB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0" name="箭號: 向右 187">
          <a:extLst>
            <a:ext uri="{FF2B5EF4-FFF2-40B4-BE49-F238E27FC236}">
              <a16:creationId xmlns:a16="http://schemas.microsoft.com/office/drawing/2014/main" id="{77723D53-4A40-4EE0-B87C-611EC3D7154F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1" name="箭號: 向上 117">
          <a:extLst>
            <a:ext uri="{FF2B5EF4-FFF2-40B4-BE49-F238E27FC236}">
              <a16:creationId xmlns:a16="http://schemas.microsoft.com/office/drawing/2014/main" id="{5CD59AE0-2ACB-45B0-85CA-1A689CB6BBC2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2" name="箭號: 向下 119">
          <a:extLst>
            <a:ext uri="{FF2B5EF4-FFF2-40B4-BE49-F238E27FC236}">
              <a16:creationId xmlns:a16="http://schemas.microsoft.com/office/drawing/2014/main" id="{D6828BCC-FB2C-44D3-B0B9-4316BD6D985D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3" name="箭號: 向右 187">
          <a:extLst>
            <a:ext uri="{FF2B5EF4-FFF2-40B4-BE49-F238E27FC236}">
              <a16:creationId xmlns:a16="http://schemas.microsoft.com/office/drawing/2014/main" id="{EFE2B1FA-7BF5-4365-9564-21E3651ACEF4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4" name="箭號: 向上 117">
          <a:extLst>
            <a:ext uri="{FF2B5EF4-FFF2-40B4-BE49-F238E27FC236}">
              <a16:creationId xmlns:a16="http://schemas.microsoft.com/office/drawing/2014/main" id="{1040BDFA-A90B-48CA-BA81-356E4B33C1D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5" name="箭號: 向下 119">
          <a:extLst>
            <a:ext uri="{FF2B5EF4-FFF2-40B4-BE49-F238E27FC236}">
              <a16:creationId xmlns:a16="http://schemas.microsoft.com/office/drawing/2014/main" id="{FC5EC66D-79A1-493E-82F1-05F08EC424F4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6" name="箭號: 向右 187">
          <a:extLst>
            <a:ext uri="{FF2B5EF4-FFF2-40B4-BE49-F238E27FC236}">
              <a16:creationId xmlns:a16="http://schemas.microsoft.com/office/drawing/2014/main" id="{8F24258C-4FC1-420E-BBC8-F4989CC1685D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27" name="箭號: 向上 117">
          <a:extLst>
            <a:ext uri="{FF2B5EF4-FFF2-40B4-BE49-F238E27FC236}">
              <a16:creationId xmlns:a16="http://schemas.microsoft.com/office/drawing/2014/main" id="{258CB939-62F3-420A-85B1-908BF3637A97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28" name="箭號: 向下 119">
          <a:extLst>
            <a:ext uri="{FF2B5EF4-FFF2-40B4-BE49-F238E27FC236}">
              <a16:creationId xmlns:a16="http://schemas.microsoft.com/office/drawing/2014/main" id="{F1028DAF-D3AC-49FA-A2A1-516F4693A5A7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29" name="箭號: 向右 187">
          <a:extLst>
            <a:ext uri="{FF2B5EF4-FFF2-40B4-BE49-F238E27FC236}">
              <a16:creationId xmlns:a16="http://schemas.microsoft.com/office/drawing/2014/main" id="{1D728902-88AA-4ECB-A619-36A4AA11AD35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0" name="箭號: 向上 117">
          <a:extLst>
            <a:ext uri="{FF2B5EF4-FFF2-40B4-BE49-F238E27FC236}">
              <a16:creationId xmlns:a16="http://schemas.microsoft.com/office/drawing/2014/main" id="{9061A9C2-98AD-4D46-92D6-A774A1D9EDEB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1" name="箭號: 向下 119">
          <a:extLst>
            <a:ext uri="{FF2B5EF4-FFF2-40B4-BE49-F238E27FC236}">
              <a16:creationId xmlns:a16="http://schemas.microsoft.com/office/drawing/2014/main" id="{5F5DB9C9-CCE1-445B-BA4F-978CA756F348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2" name="箭號: 向右 187">
          <a:extLst>
            <a:ext uri="{FF2B5EF4-FFF2-40B4-BE49-F238E27FC236}">
              <a16:creationId xmlns:a16="http://schemas.microsoft.com/office/drawing/2014/main" id="{117CBF74-7417-443F-9B51-E6090534A359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3" name="箭號: 向上 117">
          <a:extLst>
            <a:ext uri="{FF2B5EF4-FFF2-40B4-BE49-F238E27FC236}">
              <a16:creationId xmlns:a16="http://schemas.microsoft.com/office/drawing/2014/main" id="{E8EBDF3D-FACC-4A93-A425-22D0C382F3CC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4" name="箭號: 向下 119">
          <a:extLst>
            <a:ext uri="{FF2B5EF4-FFF2-40B4-BE49-F238E27FC236}">
              <a16:creationId xmlns:a16="http://schemas.microsoft.com/office/drawing/2014/main" id="{270FBBDB-3577-4410-BEE1-FD1C273B017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5" name="箭號: 向右 187">
          <a:extLst>
            <a:ext uri="{FF2B5EF4-FFF2-40B4-BE49-F238E27FC236}">
              <a16:creationId xmlns:a16="http://schemas.microsoft.com/office/drawing/2014/main" id="{C5ED43E5-D300-4958-8AA5-58A18EC91F8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685800</xdr:colOff>
      <xdr:row>32</xdr:row>
      <xdr:rowOff>57150</xdr:rowOff>
    </xdr:from>
    <xdr:to>
      <xdr:col>0</xdr:col>
      <xdr:colOff>731519</xdr:colOff>
      <xdr:row>32</xdr:row>
      <xdr:rowOff>152400</xdr:rowOff>
    </xdr:to>
    <xdr:sp macro="" textlink="">
      <xdr:nvSpPr>
        <xdr:cNvPr id="36" name="箭號: 向上 117">
          <a:extLst>
            <a:ext uri="{FF2B5EF4-FFF2-40B4-BE49-F238E27FC236}">
              <a16:creationId xmlns:a16="http://schemas.microsoft.com/office/drawing/2014/main" id="{B0CD7452-FAC3-4CC8-AC6F-D6E8BCFE51B6}"/>
            </a:ext>
          </a:extLst>
        </xdr:cNvPr>
        <xdr:cNvSpPr/>
      </xdr:nvSpPr>
      <xdr:spPr>
        <a:xfrm>
          <a:off x="609600" y="9801225"/>
          <a:ext cx="0" cy="952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657225</xdr:colOff>
      <xdr:row>33</xdr:row>
      <xdr:rowOff>76200</xdr:rowOff>
    </xdr:from>
    <xdr:to>
      <xdr:col>0</xdr:col>
      <xdr:colOff>722756</xdr:colOff>
      <xdr:row>33</xdr:row>
      <xdr:rowOff>155575</xdr:rowOff>
    </xdr:to>
    <xdr:sp macro="" textlink="">
      <xdr:nvSpPr>
        <xdr:cNvPr id="37" name="箭號: 向下 119">
          <a:extLst>
            <a:ext uri="{FF2B5EF4-FFF2-40B4-BE49-F238E27FC236}">
              <a16:creationId xmlns:a16="http://schemas.microsoft.com/office/drawing/2014/main" id="{209CB2D7-61B4-4FC1-9D7C-EAACDBB8F4DA}"/>
            </a:ext>
          </a:extLst>
        </xdr:cNvPr>
        <xdr:cNvSpPr/>
      </xdr:nvSpPr>
      <xdr:spPr>
        <a:xfrm>
          <a:off x="609600" y="10010775"/>
          <a:ext cx="0" cy="7937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0</xdr:col>
      <xdr:colOff>609600</xdr:colOff>
      <xdr:row>34</xdr:row>
      <xdr:rowOff>47625</xdr:rowOff>
    </xdr:from>
    <xdr:to>
      <xdr:col>0</xdr:col>
      <xdr:colOff>733425</xdr:colOff>
      <xdr:row>34</xdr:row>
      <xdr:rowOff>160782</xdr:rowOff>
    </xdr:to>
    <xdr:sp macro="" textlink="">
      <xdr:nvSpPr>
        <xdr:cNvPr id="38" name="箭號: 向右 187">
          <a:extLst>
            <a:ext uri="{FF2B5EF4-FFF2-40B4-BE49-F238E27FC236}">
              <a16:creationId xmlns:a16="http://schemas.microsoft.com/office/drawing/2014/main" id="{FB818BFE-928E-4668-AE8D-5AA5606029D2}"/>
            </a:ext>
          </a:extLst>
        </xdr:cNvPr>
        <xdr:cNvSpPr/>
      </xdr:nvSpPr>
      <xdr:spPr>
        <a:xfrm>
          <a:off x="609600" y="10172700"/>
          <a:ext cx="0" cy="11315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0</xdr:col>
      <xdr:colOff>0</xdr:colOff>
      <xdr:row>14</xdr:row>
      <xdr:rowOff>83911</xdr:rowOff>
    </xdr:from>
    <xdr:to>
      <xdr:col>1</xdr:col>
      <xdr:colOff>410883</xdr:colOff>
      <xdr:row>16</xdr:row>
      <xdr:rowOff>23005</xdr:rowOff>
    </xdr:to>
    <xdr:pic>
      <xdr:nvPicPr>
        <xdr:cNvPr id="39" name="圖片 1">
          <a:extLst>
            <a:ext uri="{FF2B5EF4-FFF2-40B4-BE49-F238E27FC236}">
              <a16:creationId xmlns:a16="http://schemas.microsoft.com/office/drawing/2014/main" id="{A78A6436-40CE-4386-ACFE-0951D3E6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961"/>
          <a:ext cx="1020483" cy="339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3C27-3731-49D8-AC6F-784B2186B7EC}">
  <sheetPr codeName="Sheet1">
    <pageSetUpPr fitToPage="1"/>
  </sheetPr>
  <dimension ref="A1:AH356"/>
  <sheetViews>
    <sheetView tabSelected="1" topLeftCell="D23" zoomScaleNormal="100" workbookViewId="0">
      <selection activeCell="O38" sqref="O38"/>
    </sheetView>
  </sheetViews>
  <sheetFormatPr defaultColWidth="9.140625" defaultRowHeight="15"/>
  <cols>
    <col min="1" max="32" width="10.7109375" customWidth="1"/>
  </cols>
  <sheetData>
    <row r="1" spans="1:34">
      <c r="A1" t="s">
        <v>19</v>
      </c>
      <c r="B1" s="18">
        <v>2026</v>
      </c>
    </row>
    <row r="3" spans="1:34">
      <c r="A3" s="1"/>
      <c r="B3" s="9">
        <f>DATE($B$1,1,COLUMN()-1)</f>
        <v>46023</v>
      </c>
      <c r="C3" s="9">
        <f t="shared" ref="C3:D3" si="0">DATE($B$1,1,COLUMN()-1)</f>
        <v>46024</v>
      </c>
      <c r="D3" s="9">
        <f t="shared" si="0"/>
        <v>46025</v>
      </c>
      <c r="E3" s="9">
        <f t="shared" ref="E3:AF3" si="1">DATE($B$1,1,COLUMN()-1)</f>
        <v>46026</v>
      </c>
      <c r="F3" s="9">
        <f t="shared" si="1"/>
        <v>46027</v>
      </c>
      <c r="G3" s="9">
        <f t="shared" si="1"/>
        <v>46028</v>
      </c>
      <c r="H3" s="9">
        <f t="shared" si="1"/>
        <v>46029</v>
      </c>
      <c r="I3" s="9">
        <f t="shared" si="1"/>
        <v>46030</v>
      </c>
      <c r="J3" s="9">
        <f t="shared" si="1"/>
        <v>46031</v>
      </c>
      <c r="K3" s="9">
        <f t="shared" si="1"/>
        <v>46032</v>
      </c>
      <c r="L3" s="9">
        <f t="shared" si="1"/>
        <v>46033</v>
      </c>
      <c r="M3" s="9">
        <f t="shared" si="1"/>
        <v>46034</v>
      </c>
      <c r="N3" s="9">
        <f t="shared" si="1"/>
        <v>46035</v>
      </c>
      <c r="O3" s="9">
        <f t="shared" si="1"/>
        <v>46036</v>
      </c>
      <c r="P3" s="9">
        <f t="shared" si="1"/>
        <v>46037</v>
      </c>
      <c r="Q3" s="9">
        <f t="shared" si="1"/>
        <v>46038</v>
      </c>
      <c r="R3" s="9">
        <f t="shared" si="1"/>
        <v>46039</v>
      </c>
      <c r="S3" s="9">
        <f t="shared" si="1"/>
        <v>46040</v>
      </c>
      <c r="T3" s="9">
        <f t="shared" si="1"/>
        <v>46041</v>
      </c>
      <c r="U3" s="9">
        <f t="shared" si="1"/>
        <v>46042</v>
      </c>
      <c r="V3" s="9">
        <f t="shared" si="1"/>
        <v>46043</v>
      </c>
      <c r="W3" s="9">
        <f t="shared" si="1"/>
        <v>46044</v>
      </c>
      <c r="X3" s="9">
        <f t="shared" si="1"/>
        <v>46045</v>
      </c>
      <c r="Y3" s="9">
        <f t="shared" si="1"/>
        <v>46046</v>
      </c>
      <c r="Z3" s="9">
        <f t="shared" si="1"/>
        <v>46047</v>
      </c>
      <c r="AA3" s="9">
        <f t="shared" si="1"/>
        <v>46048</v>
      </c>
      <c r="AB3" s="9">
        <f t="shared" si="1"/>
        <v>46049</v>
      </c>
      <c r="AC3" s="9">
        <f t="shared" si="1"/>
        <v>46050</v>
      </c>
      <c r="AD3" s="9">
        <f t="shared" si="1"/>
        <v>46051</v>
      </c>
      <c r="AE3" s="9">
        <f t="shared" si="1"/>
        <v>46052</v>
      </c>
      <c r="AF3" s="9">
        <f t="shared" si="1"/>
        <v>46053</v>
      </c>
      <c r="AG3" s="1"/>
      <c r="AH3" s="7" t="s">
        <v>46</v>
      </c>
    </row>
    <row r="4" spans="1:34">
      <c r="B4" s="13" t="str">
        <f t="shared" ref="B4:AF4" si="2">TEXT(B3,"ddd")</f>
        <v>Thu</v>
      </c>
      <c r="C4" s="13" t="str">
        <f t="shared" si="2"/>
        <v>Fri</v>
      </c>
      <c r="D4" s="13" t="str">
        <f t="shared" si="2"/>
        <v>Sat</v>
      </c>
      <c r="E4" s="13" t="str">
        <f t="shared" si="2"/>
        <v>Sun</v>
      </c>
      <c r="F4" s="13" t="str">
        <f t="shared" si="2"/>
        <v>Mon</v>
      </c>
      <c r="G4" s="13" t="str">
        <f t="shared" si="2"/>
        <v>Tue</v>
      </c>
      <c r="H4" s="13" t="str">
        <f t="shared" si="2"/>
        <v>Wed</v>
      </c>
      <c r="I4" s="13" t="str">
        <f t="shared" si="2"/>
        <v>Thu</v>
      </c>
      <c r="J4" s="13" t="str">
        <f t="shared" si="2"/>
        <v>Fri</v>
      </c>
      <c r="K4" s="13" t="str">
        <f t="shared" si="2"/>
        <v>Sat</v>
      </c>
      <c r="L4" s="13" t="str">
        <f t="shared" si="2"/>
        <v>Sun</v>
      </c>
      <c r="M4" s="13" t="str">
        <f t="shared" si="2"/>
        <v>Mon</v>
      </c>
      <c r="N4" s="13" t="str">
        <f t="shared" si="2"/>
        <v>Tue</v>
      </c>
      <c r="O4" s="13" t="str">
        <f t="shared" si="2"/>
        <v>Wed</v>
      </c>
      <c r="P4" s="13" t="str">
        <f t="shared" si="2"/>
        <v>Thu</v>
      </c>
      <c r="Q4" s="13" t="str">
        <f t="shared" si="2"/>
        <v>Fri</v>
      </c>
      <c r="R4" s="13" t="str">
        <f t="shared" si="2"/>
        <v>Sat</v>
      </c>
      <c r="S4" s="13" t="str">
        <f t="shared" si="2"/>
        <v>Sun</v>
      </c>
      <c r="T4" s="13" t="str">
        <f t="shared" si="2"/>
        <v>Mon</v>
      </c>
      <c r="U4" s="13" t="str">
        <f t="shared" si="2"/>
        <v>Tue</v>
      </c>
      <c r="V4" s="13" t="str">
        <f t="shared" si="2"/>
        <v>Wed</v>
      </c>
      <c r="W4" s="13" t="str">
        <f t="shared" si="2"/>
        <v>Thu</v>
      </c>
      <c r="X4" s="13" t="str">
        <f t="shared" si="2"/>
        <v>Fri</v>
      </c>
      <c r="Y4" s="13" t="str">
        <f t="shared" si="2"/>
        <v>Sat</v>
      </c>
      <c r="Z4" s="13" t="str">
        <f t="shared" si="2"/>
        <v>Sun</v>
      </c>
      <c r="AA4" s="13" t="str">
        <f t="shared" si="2"/>
        <v>Mon</v>
      </c>
      <c r="AB4" s="13" t="str">
        <f t="shared" si="2"/>
        <v>Tue</v>
      </c>
      <c r="AC4" s="13" t="str">
        <f t="shared" si="2"/>
        <v>Wed</v>
      </c>
      <c r="AD4" s="13" t="str">
        <f t="shared" si="2"/>
        <v>Thu</v>
      </c>
      <c r="AE4" s="13" t="str">
        <f t="shared" si="2"/>
        <v>Fri</v>
      </c>
      <c r="AF4" s="13" t="str">
        <f t="shared" si="2"/>
        <v>Sat</v>
      </c>
      <c r="AH4" s="16" t="s">
        <v>47</v>
      </c>
    </row>
    <row r="5" spans="1:34">
      <c r="A5" s="1"/>
      <c r="B5" s="9" t="s">
        <v>23</v>
      </c>
      <c r="C5" s="9" t="s">
        <v>23</v>
      </c>
      <c r="D5" s="9" t="s">
        <v>23</v>
      </c>
      <c r="E5" s="9" t="s">
        <v>23</v>
      </c>
      <c r="F5" s="9" t="s">
        <v>24</v>
      </c>
      <c r="G5" s="9" t="s">
        <v>24</v>
      </c>
      <c r="H5" s="9" t="s">
        <v>24</v>
      </c>
      <c r="I5" s="9" t="s">
        <v>24</v>
      </c>
      <c r="J5" s="9" t="s">
        <v>24</v>
      </c>
      <c r="K5" s="9" t="s">
        <v>24</v>
      </c>
      <c r="L5" s="9" t="s">
        <v>24</v>
      </c>
      <c r="M5" s="9" t="s">
        <v>22</v>
      </c>
      <c r="N5" s="9" t="s">
        <v>22</v>
      </c>
      <c r="O5" s="9" t="s">
        <v>22</v>
      </c>
      <c r="P5" s="9" t="s">
        <v>25</v>
      </c>
      <c r="Q5" s="9" t="s">
        <v>22</v>
      </c>
      <c r="R5" s="9" t="s">
        <v>22</v>
      </c>
      <c r="S5" s="9" t="s">
        <v>22</v>
      </c>
      <c r="T5" s="9" t="s">
        <v>22</v>
      </c>
      <c r="U5" s="9" t="s">
        <v>22</v>
      </c>
      <c r="V5" s="9" t="s">
        <v>22</v>
      </c>
      <c r="W5" s="9" t="s">
        <v>22</v>
      </c>
      <c r="X5" s="9" t="s">
        <v>22</v>
      </c>
      <c r="Y5" s="9" t="s">
        <v>22</v>
      </c>
      <c r="Z5" s="9" t="s">
        <v>22</v>
      </c>
      <c r="AA5" s="9" t="s">
        <v>24</v>
      </c>
      <c r="AB5" s="9" t="s">
        <v>24</v>
      </c>
      <c r="AC5" s="9" t="s">
        <v>24</v>
      </c>
      <c r="AD5" s="9" t="s">
        <v>24</v>
      </c>
      <c r="AE5" s="9" t="s">
        <v>24</v>
      </c>
      <c r="AF5" s="9" t="s">
        <v>24</v>
      </c>
      <c r="AG5" s="1"/>
      <c r="AH5" s="17" t="s">
        <v>48</v>
      </c>
    </row>
    <row r="6" spans="1:34">
      <c r="A6" s="1"/>
      <c r="B6" s="9" t="s">
        <v>27</v>
      </c>
      <c r="C6" s="9" t="s">
        <v>27</v>
      </c>
      <c r="D6" s="9" t="s">
        <v>27</v>
      </c>
      <c r="E6" s="9" t="s">
        <v>27</v>
      </c>
      <c r="F6" s="9" t="s">
        <v>27</v>
      </c>
      <c r="G6" s="9" t="s">
        <v>27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9" t="s">
        <v>23</v>
      </c>
      <c r="N6" s="9" t="s">
        <v>23</v>
      </c>
      <c r="O6" s="9" t="s">
        <v>23</v>
      </c>
      <c r="P6" s="9" t="s">
        <v>23</v>
      </c>
      <c r="Q6" s="9" t="s">
        <v>23</v>
      </c>
      <c r="R6" s="9" t="s">
        <v>25</v>
      </c>
      <c r="S6" s="9" t="s">
        <v>25</v>
      </c>
      <c r="T6" s="9" t="s">
        <v>23</v>
      </c>
      <c r="U6" s="9" t="s">
        <v>23</v>
      </c>
      <c r="V6" s="9" t="s">
        <v>23</v>
      </c>
      <c r="W6" s="9" t="s">
        <v>23</v>
      </c>
      <c r="X6" s="9" t="s">
        <v>23</v>
      </c>
      <c r="Y6" s="9" t="s">
        <v>23</v>
      </c>
      <c r="Z6" s="9" t="s">
        <v>23</v>
      </c>
      <c r="AA6" s="9" t="s">
        <v>25</v>
      </c>
      <c r="AB6" s="9" t="s">
        <v>25</v>
      </c>
      <c r="AC6" s="9" t="s">
        <v>25</v>
      </c>
      <c r="AD6" s="9" t="s">
        <v>25</v>
      </c>
      <c r="AE6" s="9" t="s">
        <v>25</v>
      </c>
      <c r="AF6" s="9" t="s">
        <v>25</v>
      </c>
      <c r="AG6" s="1"/>
      <c r="AH6" s="7"/>
    </row>
    <row r="7" spans="1:34">
      <c r="A7" s="1"/>
      <c r="B7" s="9" t="s">
        <v>26</v>
      </c>
      <c r="C7" s="9" t="s">
        <v>26</v>
      </c>
      <c r="D7" s="9" t="s">
        <v>26</v>
      </c>
      <c r="E7" s="9" t="s">
        <v>26</v>
      </c>
      <c r="F7" s="9" t="s">
        <v>25</v>
      </c>
      <c r="G7" s="9" t="s">
        <v>22</v>
      </c>
      <c r="H7" s="9" t="s">
        <v>25</v>
      </c>
      <c r="I7" s="9" t="s">
        <v>25</v>
      </c>
      <c r="J7" s="9" t="s">
        <v>25</v>
      </c>
      <c r="K7" s="9" t="s">
        <v>23</v>
      </c>
      <c r="L7" s="9" t="s">
        <v>23</v>
      </c>
      <c r="M7" s="9" t="s">
        <v>26</v>
      </c>
      <c r="N7" s="9" t="s">
        <v>26</v>
      </c>
      <c r="O7" s="9" t="s">
        <v>26</v>
      </c>
      <c r="P7" s="9" t="s">
        <v>26</v>
      </c>
      <c r="Q7" s="9" t="s">
        <v>26</v>
      </c>
      <c r="R7" s="9" t="s">
        <v>26</v>
      </c>
      <c r="S7" s="9" t="s">
        <v>26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27</v>
      </c>
      <c r="Y7" s="9" t="s">
        <v>25</v>
      </c>
      <c r="Z7" s="9" t="s">
        <v>25</v>
      </c>
      <c r="AA7" s="9" t="s">
        <v>27</v>
      </c>
      <c r="AB7" s="9" t="s">
        <v>27</v>
      </c>
      <c r="AC7" s="9" t="s">
        <v>27</v>
      </c>
      <c r="AD7" s="9" t="s">
        <v>27</v>
      </c>
      <c r="AE7" s="9" t="s">
        <v>27</v>
      </c>
      <c r="AF7" s="9" t="s">
        <v>26</v>
      </c>
      <c r="AG7" s="1"/>
      <c r="AH7" s="7"/>
    </row>
    <row r="8" spans="1:34">
      <c r="A8" s="1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"/>
      <c r="AH8" s="7"/>
    </row>
    <row r="9" spans="1:34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 t="s">
        <v>24</v>
      </c>
      <c r="V9" s="9" t="s">
        <v>24</v>
      </c>
      <c r="W9" s="9" t="s">
        <v>24</v>
      </c>
      <c r="X9" s="9" t="s">
        <v>24</v>
      </c>
      <c r="Y9" s="9" t="s">
        <v>24</v>
      </c>
      <c r="Z9" s="9" t="s">
        <v>24</v>
      </c>
      <c r="AA9" s="9" t="s">
        <v>42</v>
      </c>
      <c r="AB9" s="9" t="s">
        <v>42</v>
      </c>
      <c r="AC9" s="9" t="s">
        <v>42</v>
      </c>
      <c r="AD9" s="9" t="s">
        <v>42</v>
      </c>
      <c r="AE9" s="9" t="s">
        <v>42</v>
      </c>
      <c r="AF9" s="9" t="s">
        <v>42</v>
      </c>
      <c r="AG9" s="1"/>
      <c r="AH9" s="7"/>
    </row>
    <row r="10" spans="1:34">
      <c r="A10" s="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"/>
      <c r="AH10" s="7"/>
    </row>
    <row r="12" spans="1:34">
      <c r="A12" s="1"/>
      <c r="B12" s="9">
        <f>DATE($B$1,2,COLUMN()-1)</f>
        <v>46054</v>
      </c>
      <c r="C12" s="9">
        <f t="shared" ref="C12:AC12" si="3">DATE($B$1,2,COLUMN()-1)</f>
        <v>46055</v>
      </c>
      <c r="D12" s="9">
        <f t="shared" si="3"/>
        <v>46056</v>
      </c>
      <c r="E12" s="9">
        <f t="shared" si="3"/>
        <v>46057</v>
      </c>
      <c r="F12" s="9">
        <f t="shared" si="3"/>
        <v>46058</v>
      </c>
      <c r="G12" s="9">
        <f t="shared" si="3"/>
        <v>46059</v>
      </c>
      <c r="H12" s="9">
        <f t="shared" si="3"/>
        <v>46060</v>
      </c>
      <c r="I12" s="9">
        <f t="shared" si="3"/>
        <v>46061</v>
      </c>
      <c r="J12" s="9">
        <f t="shared" si="3"/>
        <v>46062</v>
      </c>
      <c r="K12" s="9">
        <f t="shared" si="3"/>
        <v>46063</v>
      </c>
      <c r="L12" s="9">
        <f t="shared" si="3"/>
        <v>46064</v>
      </c>
      <c r="M12" s="9">
        <f t="shared" si="3"/>
        <v>46065</v>
      </c>
      <c r="N12" s="9">
        <f t="shared" si="3"/>
        <v>46066</v>
      </c>
      <c r="O12" s="9">
        <f t="shared" si="3"/>
        <v>46067</v>
      </c>
      <c r="P12" s="9">
        <f t="shared" si="3"/>
        <v>46068</v>
      </c>
      <c r="Q12" s="9">
        <f t="shared" si="3"/>
        <v>46069</v>
      </c>
      <c r="R12" s="9">
        <f t="shared" si="3"/>
        <v>46070</v>
      </c>
      <c r="S12" s="9">
        <f t="shared" si="3"/>
        <v>46071</v>
      </c>
      <c r="T12" s="9">
        <f t="shared" si="3"/>
        <v>46072</v>
      </c>
      <c r="U12" s="9">
        <f t="shared" si="3"/>
        <v>46073</v>
      </c>
      <c r="V12" s="9">
        <f t="shared" si="3"/>
        <v>46074</v>
      </c>
      <c r="W12" s="9">
        <f t="shared" si="3"/>
        <v>46075</v>
      </c>
      <c r="X12" s="9">
        <f t="shared" si="3"/>
        <v>46076</v>
      </c>
      <c r="Y12" s="9">
        <f t="shared" si="3"/>
        <v>46077</v>
      </c>
      <c r="Z12" s="9">
        <f t="shared" si="3"/>
        <v>46078</v>
      </c>
      <c r="AA12" s="9">
        <f t="shared" si="3"/>
        <v>46079</v>
      </c>
      <c r="AB12" s="9">
        <f t="shared" si="3"/>
        <v>46080</v>
      </c>
      <c r="AC12" s="9">
        <f t="shared" si="3"/>
        <v>46081</v>
      </c>
      <c r="AD12" s="1"/>
      <c r="AE12" s="1"/>
      <c r="AF12" s="1"/>
      <c r="AG12" s="1"/>
    </row>
    <row r="13" spans="1:34">
      <c r="A13" s="1"/>
      <c r="B13" s="13" t="str">
        <f t="shared" ref="B13:AC13" si="4">TEXT(B12,"ddd")</f>
        <v>Sun</v>
      </c>
      <c r="C13" s="13" t="str">
        <f t="shared" si="4"/>
        <v>Mon</v>
      </c>
      <c r="D13" s="13" t="str">
        <f t="shared" si="4"/>
        <v>Tue</v>
      </c>
      <c r="E13" s="13" t="str">
        <f t="shared" si="4"/>
        <v>Wed</v>
      </c>
      <c r="F13" s="13" t="str">
        <f t="shared" si="4"/>
        <v>Thu</v>
      </c>
      <c r="G13" s="13" t="str">
        <f t="shared" si="4"/>
        <v>Fri</v>
      </c>
      <c r="H13" s="13" t="str">
        <f t="shared" si="4"/>
        <v>Sat</v>
      </c>
      <c r="I13" s="13" t="str">
        <f t="shared" si="4"/>
        <v>Sun</v>
      </c>
      <c r="J13" s="13" t="str">
        <f t="shared" si="4"/>
        <v>Mon</v>
      </c>
      <c r="K13" s="13" t="str">
        <f t="shared" si="4"/>
        <v>Tue</v>
      </c>
      <c r="L13" s="13" t="str">
        <f t="shared" si="4"/>
        <v>Wed</v>
      </c>
      <c r="M13" s="13" t="str">
        <f t="shared" si="4"/>
        <v>Thu</v>
      </c>
      <c r="N13" s="13" t="str">
        <f t="shared" si="4"/>
        <v>Fri</v>
      </c>
      <c r="O13" s="13" t="str">
        <f t="shared" si="4"/>
        <v>Sat</v>
      </c>
      <c r="P13" s="13" t="str">
        <f t="shared" si="4"/>
        <v>Sun</v>
      </c>
      <c r="Q13" s="13" t="str">
        <f t="shared" si="4"/>
        <v>Mon</v>
      </c>
      <c r="R13" s="13" t="str">
        <f t="shared" si="4"/>
        <v>Tue</v>
      </c>
      <c r="S13" s="13" t="str">
        <f t="shared" si="4"/>
        <v>Wed</v>
      </c>
      <c r="T13" s="13" t="str">
        <f t="shared" si="4"/>
        <v>Thu</v>
      </c>
      <c r="U13" s="13" t="str">
        <f t="shared" si="4"/>
        <v>Fri</v>
      </c>
      <c r="V13" s="13" t="str">
        <f t="shared" si="4"/>
        <v>Sat</v>
      </c>
      <c r="W13" s="13" t="str">
        <f t="shared" si="4"/>
        <v>Sun</v>
      </c>
      <c r="X13" s="13" t="str">
        <f t="shared" si="4"/>
        <v>Mon</v>
      </c>
      <c r="Y13" s="13" t="str">
        <f t="shared" si="4"/>
        <v>Tue</v>
      </c>
      <c r="Z13" s="13" t="str">
        <f t="shared" si="4"/>
        <v>Wed</v>
      </c>
      <c r="AA13" s="13" t="str">
        <f t="shared" si="4"/>
        <v>Thu</v>
      </c>
      <c r="AB13" s="13" t="str">
        <f t="shared" si="4"/>
        <v>Fri</v>
      </c>
      <c r="AC13" s="13" t="str">
        <f t="shared" si="4"/>
        <v>Sat</v>
      </c>
      <c r="AD13" s="1"/>
      <c r="AE13" s="1"/>
      <c r="AF13" s="1"/>
      <c r="AG13" s="1"/>
      <c r="AH13" s="7"/>
    </row>
    <row r="14" spans="1:34">
      <c r="A14" s="1"/>
      <c r="B14" s="9" t="s">
        <v>24</v>
      </c>
      <c r="C14" s="9" t="s">
        <v>22</v>
      </c>
      <c r="D14" s="9" t="s">
        <v>22</v>
      </c>
      <c r="E14" s="9" t="s">
        <v>22</v>
      </c>
      <c r="F14" s="9" t="s">
        <v>22</v>
      </c>
      <c r="G14" s="9" t="s">
        <v>22</v>
      </c>
      <c r="H14" s="9" t="s">
        <v>22</v>
      </c>
      <c r="I14" s="9" t="s">
        <v>22</v>
      </c>
      <c r="J14" s="9" t="s">
        <v>24</v>
      </c>
      <c r="K14" s="9" t="s">
        <v>24</v>
      </c>
      <c r="L14" s="9" t="s">
        <v>24</v>
      </c>
      <c r="M14" s="9" t="s">
        <v>24</v>
      </c>
      <c r="N14" s="9" t="s">
        <v>24</v>
      </c>
      <c r="O14" s="9" t="s">
        <v>24</v>
      </c>
      <c r="P14" s="9" t="s">
        <v>24</v>
      </c>
      <c r="Q14" s="9" t="s">
        <v>22</v>
      </c>
      <c r="R14" s="9" t="s">
        <v>22</v>
      </c>
      <c r="S14" s="9" t="s">
        <v>24</v>
      </c>
      <c r="T14" s="9" t="s">
        <v>24</v>
      </c>
      <c r="U14" s="9" t="s">
        <v>24</v>
      </c>
      <c r="V14" s="9" t="s">
        <v>24</v>
      </c>
      <c r="W14" s="9" t="s">
        <v>24</v>
      </c>
      <c r="X14" s="9" t="s">
        <v>24</v>
      </c>
      <c r="Y14" s="9" t="s">
        <v>24</v>
      </c>
      <c r="Z14" s="9" t="s">
        <v>24</v>
      </c>
      <c r="AA14" s="9" t="s">
        <v>24</v>
      </c>
      <c r="AB14" s="9" t="s">
        <v>24</v>
      </c>
      <c r="AC14" s="9" t="s">
        <v>27</v>
      </c>
      <c r="AD14" s="1"/>
      <c r="AE14" s="1"/>
      <c r="AF14" s="1"/>
      <c r="AG14" s="1"/>
    </row>
    <row r="15" spans="1:34">
      <c r="A15" s="1"/>
      <c r="B15" s="9" t="s">
        <v>25</v>
      </c>
      <c r="C15" s="9" t="s">
        <v>25</v>
      </c>
      <c r="D15" s="9" t="s">
        <v>25</v>
      </c>
      <c r="E15" s="9" t="s">
        <v>25</v>
      </c>
      <c r="F15" s="9" t="s">
        <v>25</v>
      </c>
      <c r="G15" s="9" t="s">
        <v>25</v>
      </c>
      <c r="H15" s="9" t="s">
        <v>25</v>
      </c>
      <c r="I15" s="9" t="s">
        <v>25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 t="s">
        <v>26</v>
      </c>
      <c r="R15" s="9" t="s">
        <v>26</v>
      </c>
      <c r="S15" s="9" t="s">
        <v>26</v>
      </c>
      <c r="T15" s="9" t="s">
        <v>26</v>
      </c>
      <c r="U15" s="9" t="s">
        <v>26</v>
      </c>
      <c r="V15" s="9" t="s">
        <v>26</v>
      </c>
      <c r="W15" s="9" t="s">
        <v>26</v>
      </c>
      <c r="X15" s="9" t="s">
        <v>26</v>
      </c>
      <c r="Y15" s="9" t="s">
        <v>26</v>
      </c>
      <c r="Z15" s="9" t="s">
        <v>26</v>
      </c>
      <c r="AA15" s="9" t="s">
        <v>26</v>
      </c>
      <c r="AB15" s="9" t="s">
        <v>26</v>
      </c>
      <c r="AC15" s="9" t="s">
        <v>26</v>
      </c>
      <c r="AD15" s="1"/>
      <c r="AE15" s="1"/>
      <c r="AF15" s="1"/>
      <c r="AG15" s="1"/>
    </row>
    <row r="16" spans="1:34">
      <c r="A16" s="1"/>
      <c r="B16" s="9" t="s">
        <v>26</v>
      </c>
      <c r="C16" s="9" t="s">
        <v>26</v>
      </c>
      <c r="D16" s="9" t="s">
        <v>26</v>
      </c>
      <c r="E16" s="9" t="s">
        <v>26</v>
      </c>
      <c r="F16" s="9" t="s">
        <v>26</v>
      </c>
      <c r="G16" s="9" t="s">
        <v>26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25</v>
      </c>
      <c r="R16" s="9" t="s">
        <v>25</v>
      </c>
      <c r="S16" s="9" t="s">
        <v>25</v>
      </c>
      <c r="T16" s="9" t="s">
        <v>25</v>
      </c>
      <c r="U16" s="9" t="s">
        <v>25</v>
      </c>
      <c r="V16" s="9" t="s">
        <v>25</v>
      </c>
      <c r="W16" s="9" t="s">
        <v>25</v>
      </c>
      <c r="X16" s="9" t="s">
        <v>23</v>
      </c>
      <c r="Y16" s="9" t="s">
        <v>23</v>
      </c>
      <c r="Z16" s="9" t="s">
        <v>23</v>
      </c>
      <c r="AA16" s="9" t="s">
        <v>23</v>
      </c>
      <c r="AB16" s="9" t="s">
        <v>23</v>
      </c>
      <c r="AC16" s="9" t="s">
        <v>23</v>
      </c>
      <c r="AD16" s="1"/>
      <c r="AE16" s="1"/>
      <c r="AF16" s="1"/>
      <c r="AG16" s="1"/>
    </row>
    <row r="17" spans="1:33">
      <c r="A17" s="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"/>
      <c r="AE17" s="1"/>
      <c r="AF17" s="1"/>
      <c r="AG17" s="1"/>
    </row>
    <row r="18" spans="1:33">
      <c r="A18" s="1"/>
      <c r="B18" s="9" t="s">
        <v>23</v>
      </c>
      <c r="C18" s="9" t="s">
        <v>23</v>
      </c>
      <c r="D18" s="9" t="s">
        <v>23</v>
      </c>
      <c r="E18" s="9" t="s">
        <v>23</v>
      </c>
      <c r="F18" s="9" t="s">
        <v>23</v>
      </c>
      <c r="G18" s="9" t="s">
        <v>23</v>
      </c>
      <c r="H18" s="9" t="s">
        <v>23</v>
      </c>
      <c r="I18" s="9" t="s">
        <v>23</v>
      </c>
      <c r="J18" s="9" t="s">
        <v>43</v>
      </c>
      <c r="K18" s="9" t="s">
        <v>43</v>
      </c>
      <c r="L18" s="9" t="s">
        <v>43</v>
      </c>
      <c r="M18" s="9" t="s">
        <v>43</v>
      </c>
      <c r="N18" s="9" t="s">
        <v>43</v>
      </c>
      <c r="O18" s="9" t="s">
        <v>43</v>
      </c>
      <c r="P18" s="9" t="s">
        <v>43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1"/>
      <c r="AE18" s="1"/>
      <c r="AF18" s="1"/>
      <c r="AG18" s="1"/>
    </row>
    <row r="19" spans="1:33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"/>
      <c r="AE19" s="1"/>
      <c r="AF19" s="1"/>
      <c r="AG19" s="1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B21" s="9">
        <f>DATE($B$1,3,COLUMN()-1)</f>
        <v>46082</v>
      </c>
      <c r="C21" s="9">
        <f t="shared" ref="C21:AF21" si="5">DATE($B$1,3,COLUMN()-1)</f>
        <v>46083</v>
      </c>
      <c r="D21" s="9">
        <f t="shared" si="5"/>
        <v>46084</v>
      </c>
      <c r="E21" s="9">
        <f t="shared" si="5"/>
        <v>46085</v>
      </c>
      <c r="F21" s="9">
        <f t="shared" si="5"/>
        <v>46086</v>
      </c>
      <c r="G21" s="9">
        <f t="shared" si="5"/>
        <v>46087</v>
      </c>
      <c r="H21" s="9">
        <f t="shared" si="5"/>
        <v>46088</v>
      </c>
      <c r="I21" s="9">
        <f t="shared" si="5"/>
        <v>46089</v>
      </c>
      <c r="J21" s="9">
        <f t="shared" si="5"/>
        <v>46090</v>
      </c>
      <c r="K21" s="9">
        <f t="shared" si="5"/>
        <v>46091</v>
      </c>
      <c r="L21" s="9">
        <f t="shared" si="5"/>
        <v>46092</v>
      </c>
      <c r="M21" s="9">
        <f t="shared" si="5"/>
        <v>46093</v>
      </c>
      <c r="N21" s="9">
        <f t="shared" si="5"/>
        <v>46094</v>
      </c>
      <c r="O21" s="9">
        <f t="shared" si="5"/>
        <v>46095</v>
      </c>
      <c r="P21" s="9">
        <f t="shared" si="5"/>
        <v>46096</v>
      </c>
      <c r="Q21" s="9">
        <f t="shared" si="5"/>
        <v>46097</v>
      </c>
      <c r="R21" s="9">
        <f t="shared" si="5"/>
        <v>46098</v>
      </c>
      <c r="S21" s="9">
        <f t="shared" si="5"/>
        <v>46099</v>
      </c>
      <c r="T21" s="9">
        <f t="shared" si="5"/>
        <v>46100</v>
      </c>
      <c r="U21" s="9">
        <f t="shared" si="5"/>
        <v>46101</v>
      </c>
      <c r="V21" s="9">
        <f t="shared" si="5"/>
        <v>46102</v>
      </c>
      <c r="W21" s="9">
        <f t="shared" si="5"/>
        <v>46103</v>
      </c>
      <c r="X21" s="9">
        <f t="shared" si="5"/>
        <v>46104</v>
      </c>
      <c r="Y21" s="9">
        <f t="shared" si="5"/>
        <v>46105</v>
      </c>
      <c r="Z21" s="9">
        <f t="shared" si="5"/>
        <v>46106</v>
      </c>
      <c r="AA21" s="9">
        <f t="shared" si="5"/>
        <v>46107</v>
      </c>
      <c r="AB21" s="9">
        <f t="shared" si="5"/>
        <v>46108</v>
      </c>
      <c r="AC21" s="9">
        <f t="shared" si="5"/>
        <v>46109</v>
      </c>
      <c r="AD21" s="9">
        <f t="shared" si="5"/>
        <v>46110</v>
      </c>
      <c r="AE21" s="9">
        <f t="shared" si="5"/>
        <v>46111</v>
      </c>
      <c r="AF21" s="9">
        <f t="shared" si="5"/>
        <v>46112</v>
      </c>
      <c r="AG21" s="1"/>
    </row>
    <row r="22" spans="1:33">
      <c r="A22" s="1"/>
      <c r="B22" s="13" t="str">
        <f t="shared" ref="B22:AF22" si="6">TEXT(B21,"ddd")</f>
        <v>Sun</v>
      </c>
      <c r="C22" s="13" t="str">
        <f t="shared" si="6"/>
        <v>Mon</v>
      </c>
      <c r="D22" s="13" t="str">
        <f t="shared" si="6"/>
        <v>Tue</v>
      </c>
      <c r="E22" s="13" t="str">
        <f t="shared" si="6"/>
        <v>Wed</v>
      </c>
      <c r="F22" s="13" t="str">
        <f t="shared" si="6"/>
        <v>Thu</v>
      </c>
      <c r="G22" s="13" t="str">
        <f t="shared" si="6"/>
        <v>Fri</v>
      </c>
      <c r="H22" s="13" t="str">
        <f t="shared" si="6"/>
        <v>Sat</v>
      </c>
      <c r="I22" s="13" t="str">
        <f t="shared" si="6"/>
        <v>Sun</v>
      </c>
      <c r="J22" s="13" t="str">
        <f t="shared" si="6"/>
        <v>Mon</v>
      </c>
      <c r="K22" s="13" t="str">
        <f t="shared" si="6"/>
        <v>Tue</v>
      </c>
      <c r="L22" s="13" t="str">
        <f t="shared" si="6"/>
        <v>Wed</v>
      </c>
      <c r="M22" s="13" t="str">
        <f t="shared" si="6"/>
        <v>Thu</v>
      </c>
      <c r="N22" s="13" t="str">
        <f t="shared" si="6"/>
        <v>Fri</v>
      </c>
      <c r="O22" s="13" t="str">
        <f t="shared" si="6"/>
        <v>Sat</v>
      </c>
      <c r="P22" s="13" t="str">
        <f t="shared" si="6"/>
        <v>Sun</v>
      </c>
      <c r="Q22" s="13" t="str">
        <f t="shared" si="6"/>
        <v>Mon</v>
      </c>
      <c r="R22" s="13" t="str">
        <f t="shared" si="6"/>
        <v>Tue</v>
      </c>
      <c r="S22" s="13" t="str">
        <f t="shared" si="6"/>
        <v>Wed</v>
      </c>
      <c r="T22" s="13" t="str">
        <f t="shared" si="6"/>
        <v>Thu</v>
      </c>
      <c r="U22" s="13" t="str">
        <f t="shared" si="6"/>
        <v>Fri</v>
      </c>
      <c r="V22" s="13" t="str">
        <f t="shared" si="6"/>
        <v>Sat</v>
      </c>
      <c r="W22" s="13" t="str">
        <f t="shared" si="6"/>
        <v>Sun</v>
      </c>
      <c r="X22" s="13" t="str">
        <f t="shared" si="6"/>
        <v>Mon</v>
      </c>
      <c r="Y22" s="13" t="str">
        <f t="shared" si="6"/>
        <v>Tue</v>
      </c>
      <c r="Z22" s="13" t="str">
        <f t="shared" si="6"/>
        <v>Wed</v>
      </c>
      <c r="AA22" s="13" t="str">
        <f t="shared" si="6"/>
        <v>Thu</v>
      </c>
      <c r="AB22" s="13" t="str">
        <f t="shared" si="6"/>
        <v>Fri</v>
      </c>
      <c r="AC22" s="13" t="str">
        <f t="shared" si="6"/>
        <v>Sat</v>
      </c>
      <c r="AD22" s="13" t="str">
        <f t="shared" si="6"/>
        <v>Sun</v>
      </c>
      <c r="AE22" s="13" t="str">
        <f t="shared" si="6"/>
        <v>Mon</v>
      </c>
      <c r="AF22" s="13" t="str">
        <f t="shared" si="6"/>
        <v>Tue</v>
      </c>
      <c r="AG22" s="1"/>
    </row>
    <row r="23" spans="1:33">
      <c r="A23" s="1"/>
      <c r="B23" s="9" t="s">
        <v>27</v>
      </c>
      <c r="C23" s="9" t="s">
        <v>24</v>
      </c>
      <c r="D23" s="9" t="s">
        <v>24</v>
      </c>
      <c r="E23" s="9" t="s">
        <v>22</v>
      </c>
      <c r="F23" s="9" t="s">
        <v>22</v>
      </c>
      <c r="G23" s="9" t="s">
        <v>22</v>
      </c>
      <c r="H23" s="9" t="s">
        <v>22</v>
      </c>
      <c r="I23" s="9" t="s">
        <v>22</v>
      </c>
      <c r="J23" s="9" t="s">
        <v>22</v>
      </c>
      <c r="K23" s="9" t="s">
        <v>22</v>
      </c>
      <c r="L23" s="9" t="s">
        <v>22</v>
      </c>
      <c r="M23" s="9" t="s">
        <v>24</v>
      </c>
      <c r="N23" s="9" t="s">
        <v>24</v>
      </c>
      <c r="O23" s="9" t="s">
        <v>24</v>
      </c>
      <c r="P23" s="9" t="s">
        <v>24</v>
      </c>
      <c r="Q23" s="9" t="s">
        <v>22</v>
      </c>
      <c r="R23" s="9" t="s">
        <v>22</v>
      </c>
      <c r="S23" s="9" t="s">
        <v>22</v>
      </c>
      <c r="T23" s="9" t="s">
        <v>24</v>
      </c>
      <c r="U23" s="9" t="s">
        <v>22</v>
      </c>
      <c r="V23" s="9" t="s">
        <v>22</v>
      </c>
      <c r="W23" s="9" t="s">
        <v>22</v>
      </c>
      <c r="X23" s="9" t="s">
        <v>22</v>
      </c>
      <c r="Y23" s="9" t="s">
        <v>22</v>
      </c>
      <c r="Z23" s="9" t="s">
        <v>22</v>
      </c>
      <c r="AA23" s="9" t="s">
        <v>22</v>
      </c>
      <c r="AB23" s="9" t="s">
        <v>22</v>
      </c>
      <c r="AC23" s="9" t="s">
        <v>22</v>
      </c>
      <c r="AD23" s="9" t="s">
        <v>22</v>
      </c>
      <c r="AE23" s="9" t="s">
        <v>24</v>
      </c>
      <c r="AF23" s="9" t="s">
        <v>24</v>
      </c>
      <c r="AG23" s="1"/>
    </row>
    <row r="24" spans="1:33">
      <c r="A24" s="1"/>
      <c r="B24" s="9" t="s">
        <v>26</v>
      </c>
      <c r="C24" s="9" t="s">
        <v>27</v>
      </c>
      <c r="D24" s="9" t="s">
        <v>27</v>
      </c>
      <c r="E24" s="9" t="s">
        <v>27</v>
      </c>
      <c r="F24" s="9" t="s">
        <v>27</v>
      </c>
      <c r="G24" s="9" t="s">
        <v>27</v>
      </c>
      <c r="H24" s="9" t="s">
        <v>27</v>
      </c>
      <c r="I24" s="9" t="s">
        <v>27</v>
      </c>
      <c r="J24" s="9" t="s">
        <v>23</v>
      </c>
      <c r="K24" s="9" t="s">
        <v>23</v>
      </c>
      <c r="L24" s="9" t="s">
        <v>23</v>
      </c>
      <c r="M24" s="9" t="s">
        <v>23</v>
      </c>
      <c r="N24" s="9" t="s">
        <v>23</v>
      </c>
      <c r="O24" s="9" t="s">
        <v>23</v>
      </c>
      <c r="P24" s="9" t="s">
        <v>23</v>
      </c>
      <c r="Q24" s="9" t="s">
        <v>27</v>
      </c>
      <c r="R24" s="9" t="s">
        <v>27</v>
      </c>
      <c r="S24" s="9" t="s">
        <v>27</v>
      </c>
      <c r="T24" s="9" t="s">
        <v>27</v>
      </c>
      <c r="U24" s="9" t="s">
        <v>27</v>
      </c>
      <c r="V24" s="9" t="s">
        <v>27</v>
      </c>
      <c r="W24" s="9" t="s">
        <v>27</v>
      </c>
      <c r="X24" s="9" t="s">
        <v>26</v>
      </c>
      <c r="Y24" s="9" t="s">
        <v>26</v>
      </c>
      <c r="Z24" s="9" t="s">
        <v>26</v>
      </c>
      <c r="AA24" s="9" t="s">
        <v>26</v>
      </c>
      <c r="AB24" s="9" t="s">
        <v>26</v>
      </c>
      <c r="AC24" s="9" t="s">
        <v>26</v>
      </c>
      <c r="AD24" s="9" t="s">
        <v>26</v>
      </c>
      <c r="AE24" s="9" t="s">
        <v>23</v>
      </c>
      <c r="AF24" s="9" t="s">
        <v>23</v>
      </c>
      <c r="AG24" s="1"/>
    </row>
    <row r="25" spans="1:33">
      <c r="A25" s="1"/>
      <c r="B25" s="9" t="s">
        <v>23</v>
      </c>
      <c r="C25" s="9" t="s">
        <v>25</v>
      </c>
      <c r="D25" s="9" t="s">
        <v>25</v>
      </c>
      <c r="E25" s="9" t="s">
        <v>25</v>
      </c>
      <c r="F25" s="9" t="s">
        <v>25</v>
      </c>
      <c r="G25" s="9" t="s">
        <v>25</v>
      </c>
      <c r="H25" s="9" t="s">
        <v>25</v>
      </c>
      <c r="I25" s="9" t="s">
        <v>25</v>
      </c>
      <c r="J25" s="9" t="s">
        <v>26</v>
      </c>
      <c r="K25" s="9" t="s">
        <v>26</v>
      </c>
      <c r="L25" s="9" t="s">
        <v>26</v>
      </c>
      <c r="M25" s="9" t="s">
        <v>26</v>
      </c>
      <c r="N25" s="9" t="s">
        <v>26</v>
      </c>
      <c r="O25" s="9" t="s">
        <v>26</v>
      </c>
      <c r="P25" s="9" t="s">
        <v>26</v>
      </c>
      <c r="Q25" s="9" t="s">
        <v>25</v>
      </c>
      <c r="R25" s="9" t="s">
        <v>25</v>
      </c>
      <c r="S25" s="9" t="s">
        <v>25</v>
      </c>
      <c r="T25" s="9" t="s">
        <v>25</v>
      </c>
      <c r="U25" s="9" t="s">
        <v>25</v>
      </c>
      <c r="V25" s="9" t="s">
        <v>25</v>
      </c>
      <c r="W25" s="9" t="s">
        <v>25</v>
      </c>
      <c r="X25" s="9" t="s">
        <v>25</v>
      </c>
      <c r="Y25" s="9" t="s">
        <v>25</v>
      </c>
      <c r="Z25" s="9" t="s">
        <v>25</v>
      </c>
      <c r="AA25" s="9" t="s">
        <v>25</v>
      </c>
      <c r="AB25" s="9" t="s">
        <v>25</v>
      </c>
      <c r="AC25" s="9" t="s">
        <v>25</v>
      </c>
      <c r="AD25" s="9" t="s">
        <v>24</v>
      </c>
      <c r="AE25" s="9" t="s">
        <v>24</v>
      </c>
      <c r="AF25" s="9" t="s">
        <v>27</v>
      </c>
      <c r="AG25" s="1"/>
    </row>
    <row r="26" spans="1:33">
      <c r="A26" s="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"/>
    </row>
    <row r="27" spans="1:33">
      <c r="A27" s="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 t="s">
        <v>141</v>
      </c>
      <c r="Y27" s="9" t="s">
        <v>142</v>
      </c>
      <c r="Z27" s="9" t="s">
        <v>142</v>
      </c>
      <c r="AA27" s="9" t="s">
        <v>142</v>
      </c>
      <c r="AB27" s="9" t="s">
        <v>142</v>
      </c>
      <c r="AC27" s="9" t="s">
        <v>142</v>
      </c>
      <c r="AD27" s="9" t="s">
        <v>142</v>
      </c>
      <c r="AE27" s="9" t="s">
        <v>142</v>
      </c>
      <c r="AF27" s="9" t="s">
        <v>142</v>
      </c>
      <c r="AG27" s="1"/>
    </row>
    <row r="28" spans="1:33">
      <c r="A28" s="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"/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1"/>
      <c r="B30" s="9">
        <f>DATE($B$1,4,COLUMN()-1)</f>
        <v>46113</v>
      </c>
      <c r="C30" s="9">
        <f t="shared" ref="C30:AE30" si="7">DATE($B$1,4,COLUMN()-1)</f>
        <v>46114</v>
      </c>
      <c r="D30" s="9">
        <f t="shared" si="7"/>
        <v>46115</v>
      </c>
      <c r="E30" s="9">
        <f t="shared" si="7"/>
        <v>46116</v>
      </c>
      <c r="F30" s="9">
        <f t="shared" si="7"/>
        <v>46117</v>
      </c>
      <c r="G30" s="9">
        <f t="shared" si="7"/>
        <v>46118</v>
      </c>
      <c r="H30" s="9">
        <f t="shared" si="7"/>
        <v>46119</v>
      </c>
      <c r="I30" s="9">
        <f t="shared" si="7"/>
        <v>46120</v>
      </c>
      <c r="J30" s="9">
        <f t="shared" si="7"/>
        <v>46121</v>
      </c>
      <c r="K30" s="9">
        <f t="shared" si="7"/>
        <v>46122</v>
      </c>
      <c r="L30" s="9">
        <f t="shared" si="7"/>
        <v>46123</v>
      </c>
      <c r="M30" s="9">
        <f t="shared" si="7"/>
        <v>46124</v>
      </c>
      <c r="N30" s="9">
        <f t="shared" si="7"/>
        <v>46125</v>
      </c>
      <c r="O30" s="9">
        <f t="shared" si="7"/>
        <v>46126</v>
      </c>
      <c r="P30" s="9">
        <f t="shared" si="7"/>
        <v>46127</v>
      </c>
      <c r="Q30" s="9">
        <f t="shared" si="7"/>
        <v>46128</v>
      </c>
      <c r="R30" s="9">
        <f t="shared" si="7"/>
        <v>46129</v>
      </c>
      <c r="S30" s="9">
        <f t="shared" si="7"/>
        <v>46130</v>
      </c>
      <c r="T30" s="9">
        <f t="shared" si="7"/>
        <v>46131</v>
      </c>
      <c r="U30" s="9">
        <f t="shared" si="7"/>
        <v>46132</v>
      </c>
      <c r="V30" s="9">
        <f t="shared" si="7"/>
        <v>46133</v>
      </c>
      <c r="W30" s="9">
        <f t="shared" si="7"/>
        <v>46134</v>
      </c>
      <c r="X30" s="9">
        <f t="shared" si="7"/>
        <v>46135</v>
      </c>
      <c r="Y30" s="9">
        <f t="shared" si="7"/>
        <v>46136</v>
      </c>
      <c r="Z30" s="9">
        <f t="shared" si="7"/>
        <v>46137</v>
      </c>
      <c r="AA30" s="9">
        <f t="shared" si="7"/>
        <v>46138</v>
      </c>
      <c r="AB30" s="9">
        <f t="shared" si="7"/>
        <v>46139</v>
      </c>
      <c r="AC30" s="9">
        <f t="shared" si="7"/>
        <v>46140</v>
      </c>
      <c r="AD30" s="9">
        <f t="shared" si="7"/>
        <v>46141</v>
      </c>
      <c r="AE30" s="9">
        <f t="shared" si="7"/>
        <v>46142</v>
      </c>
      <c r="AF30" s="1"/>
      <c r="AG30" s="1"/>
    </row>
    <row r="31" spans="1:33">
      <c r="A31" s="1"/>
      <c r="B31" s="13" t="str">
        <f t="shared" ref="B31:AE31" si="8">TEXT(B30,"ddd")</f>
        <v>Wed</v>
      </c>
      <c r="C31" s="13" t="str">
        <f t="shared" si="8"/>
        <v>Thu</v>
      </c>
      <c r="D31" s="13" t="str">
        <f t="shared" si="8"/>
        <v>Fri</v>
      </c>
      <c r="E31" s="13" t="str">
        <f t="shared" si="8"/>
        <v>Sat</v>
      </c>
      <c r="F31" s="13" t="str">
        <f t="shared" si="8"/>
        <v>Sun</v>
      </c>
      <c r="G31" s="13" t="str">
        <f t="shared" si="8"/>
        <v>Mon</v>
      </c>
      <c r="H31" s="13" t="str">
        <f t="shared" si="8"/>
        <v>Tue</v>
      </c>
      <c r="I31" s="13" t="str">
        <f t="shared" si="8"/>
        <v>Wed</v>
      </c>
      <c r="J31" s="13" t="str">
        <f t="shared" si="8"/>
        <v>Thu</v>
      </c>
      <c r="K31" s="13" t="str">
        <f t="shared" si="8"/>
        <v>Fri</v>
      </c>
      <c r="L31" s="13" t="str">
        <f t="shared" si="8"/>
        <v>Sat</v>
      </c>
      <c r="M31" s="13" t="str">
        <f t="shared" si="8"/>
        <v>Sun</v>
      </c>
      <c r="N31" s="13" t="str">
        <f t="shared" si="8"/>
        <v>Mon</v>
      </c>
      <c r="O31" s="13" t="str">
        <f t="shared" si="8"/>
        <v>Tue</v>
      </c>
      <c r="P31" s="13" t="str">
        <f t="shared" si="8"/>
        <v>Wed</v>
      </c>
      <c r="Q31" s="13" t="str">
        <f t="shared" si="8"/>
        <v>Thu</v>
      </c>
      <c r="R31" s="13" t="str">
        <f t="shared" si="8"/>
        <v>Fri</v>
      </c>
      <c r="S31" s="13" t="str">
        <f t="shared" si="8"/>
        <v>Sat</v>
      </c>
      <c r="T31" s="13" t="str">
        <f t="shared" si="8"/>
        <v>Sun</v>
      </c>
      <c r="U31" s="13" t="str">
        <f t="shared" si="8"/>
        <v>Mon</v>
      </c>
      <c r="V31" s="13" t="str">
        <f t="shared" si="8"/>
        <v>Tue</v>
      </c>
      <c r="W31" s="13" t="str">
        <f t="shared" si="8"/>
        <v>Wed</v>
      </c>
      <c r="X31" s="13" t="str">
        <f t="shared" si="8"/>
        <v>Thu</v>
      </c>
      <c r="Y31" s="13" t="str">
        <f t="shared" si="8"/>
        <v>Fri</v>
      </c>
      <c r="Z31" s="13" t="str">
        <f t="shared" si="8"/>
        <v>Sat</v>
      </c>
      <c r="AA31" s="13" t="str">
        <f t="shared" si="8"/>
        <v>Sun</v>
      </c>
      <c r="AB31" s="13" t="str">
        <f t="shared" si="8"/>
        <v>Mon</v>
      </c>
      <c r="AC31" s="13" t="str">
        <f t="shared" si="8"/>
        <v>Tue</v>
      </c>
      <c r="AD31" s="13" t="str">
        <f t="shared" si="8"/>
        <v>Wed</v>
      </c>
      <c r="AE31" s="13" t="str">
        <f t="shared" si="8"/>
        <v>Thu</v>
      </c>
      <c r="AF31" s="1"/>
      <c r="AG31" s="1"/>
    </row>
    <row r="32" spans="1:33">
      <c r="A32" s="1"/>
      <c r="B32" s="9" t="s">
        <v>24</v>
      </c>
      <c r="C32" s="9" t="s">
        <v>24</v>
      </c>
      <c r="D32" s="9" t="s">
        <v>24</v>
      </c>
      <c r="E32" s="9" t="s">
        <v>24</v>
      </c>
      <c r="F32" s="9" t="s">
        <v>24</v>
      </c>
      <c r="G32" s="9" t="s">
        <v>22</v>
      </c>
      <c r="H32" s="9" t="s">
        <v>22</v>
      </c>
      <c r="I32" s="9" t="s">
        <v>24</v>
      </c>
      <c r="J32" s="9" t="s">
        <v>24</v>
      </c>
      <c r="K32" s="9" t="s">
        <v>24</v>
      </c>
      <c r="L32" s="9" t="s">
        <v>24</v>
      </c>
      <c r="M32" s="9" t="s">
        <v>24</v>
      </c>
      <c r="N32" s="9" t="s">
        <v>22</v>
      </c>
      <c r="O32" s="9" t="s">
        <v>22</v>
      </c>
      <c r="P32" s="9" t="s">
        <v>22</v>
      </c>
      <c r="Q32" s="9" t="s">
        <v>22</v>
      </c>
      <c r="R32" s="9" t="s">
        <v>22</v>
      </c>
      <c r="S32" s="9" t="s">
        <v>24</v>
      </c>
      <c r="T32" s="9" t="s">
        <v>24</v>
      </c>
      <c r="U32" s="9" t="s">
        <v>24</v>
      </c>
      <c r="V32" s="9" t="s">
        <v>24</v>
      </c>
      <c r="W32" s="9" t="s">
        <v>24</v>
      </c>
      <c r="X32" s="9" t="s">
        <v>24</v>
      </c>
      <c r="Y32" s="9" t="s">
        <v>24</v>
      </c>
      <c r="Z32" s="9" t="s">
        <v>22</v>
      </c>
      <c r="AA32" s="9" t="s">
        <v>22</v>
      </c>
      <c r="AB32" s="9" t="s">
        <v>22</v>
      </c>
      <c r="AC32" s="9" t="s">
        <v>22</v>
      </c>
      <c r="AD32" s="9" t="s">
        <v>22</v>
      </c>
      <c r="AE32" s="9" t="s">
        <v>22</v>
      </c>
      <c r="AF32" s="1"/>
      <c r="AG32" s="1"/>
    </row>
    <row r="33" spans="1:34">
      <c r="A33" s="1"/>
      <c r="B33" s="9" t="s">
        <v>23</v>
      </c>
      <c r="C33" s="9" t="s">
        <v>23</v>
      </c>
      <c r="D33" s="9" t="s">
        <v>23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  <c r="L33" s="9" t="s">
        <v>26</v>
      </c>
      <c r="M33" s="9" t="s">
        <v>26</v>
      </c>
      <c r="N33" s="9" t="s">
        <v>25</v>
      </c>
      <c r="O33" s="9" t="s">
        <v>25</v>
      </c>
      <c r="P33" s="9" t="s">
        <v>25</v>
      </c>
      <c r="Q33" s="9" t="s">
        <v>25</v>
      </c>
      <c r="R33" s="9" t="s">
        <v>25</v>
      </c>
      <c r="S33" s="9" t="s">
        <v>25</v>
      </c>
      <c r="T33" s="9" t="s">
        <v>25</v>
      </c>
      <c r="U33" s="9" t="s">
        <v>23</v>
      </c>
      <c r="V33" s="9" t="s">
        <v>23</v>
      </c>
      <c r="W33" s="9" t="s">
        <v>23</v>
      </c>
      <c r="X33" s="9" t="s">
        <v>23</v>
      </c>
      <c r="Y33" s="9" t="s">
        <v>23</v>
      </c>
      <c r="Z33" s="9" t="s">
        <v>23</v>
      </c>
      <c r="AA33" s="9" t="s">
        <v>23</v>
      </c>
      <c r="AB33" s="9" t="s">
        <v>25</v>
      </c>
      <c r="AC33" s="9" t="s">
        <v>25</v>
      </c>
      <c r="AD33" s="9" t="s">
        <v>25</v>
      </c>
      <c r="AE33" s="9" t="s">
        <v>25</v>
      </c>
      <c r="AF33" s="1"/>
      <c r="AG33" s="1"/>
    </row>
    <row r="34" spans="1:34">
      <c r="A34" s="1"/>
      <c r="B34" s="9" t="s">
        <v>27</v>
      </c>
      <c r="C34" s="9" t="s">
        <v>27</v>
      </c>
      <c r="D34" s="9" t="s">
        <v>27</v>
      </c>
      <c r="E34" s="9" t="s">
        <v>27</v>
      </c>
      <c r="F34" s="9" t="s">
        <v>27</v>
      </c>
      <c r="G34" s="9" t="s">
        <v>27</v>
      </c>
      <c r="H34" s="9" t="s">
        <v>27</v>
      </c>
      <c r="I34" s="9" t="s">
        <v>22</v>
      </c>
      <c r="J34" s="9" t="s">
        <v>25</v>
      </c>
      <c r="K34" s="9" t="s">
        <v>22</v>
      </c>
      <c r="L34" s="9" t="s">
        <v>22</v>
      </c>
      <c r="M34" s="9" t="s">
        <v>22</v>
      </c>
      <c r="N34" s="9" t="s">
        <v>26</v>
      </c>
      <c r="O34" s="9" t="s">
        <v>26</v>
      </c>
      <c r="P34" s="9" t="s">
        <v>26</v>
      </c>
      <c r="Q34" s="9" t="s">
        <v>26</v>
      </c>
      <c r="R34" s="9" t="s">
        <v>26</v>
      </c>
      <c r="S34" s="9" t="s">
        <v>23</v>
      </c>
      <c r="T34" s="9" t="s">
        <v>23</v>
      </c>
      <c r="U34" s="9" t="s">
        <v>27</v>
      </c>
      <c r="V34" s="9" t="s">
        <v>27</v>
      </c>
      <c r="W34" s="9" t="s">
        <v>27</v>
      </c>
      <c r="X34" s="9" t="s">
        <v>27</v>
      </c>
      <c r="Y34" s="9" t="s">
        <v>27</v>
      </c>
      <c r="Z34" s="9" t="s">
        <v>27</v>
      </c>
      <c r="AA34" s="9" t="s">
        <v>27</v>
      </c>
      <c r="AB34" s="9" t="s">
        <v>27</v>
      </c>
      <c r="AC34" s="9" t="s">
        <v>27</v>
      </c>
      <c r="AD34" s="9" t="s">
        <v>27</v>
      </c>
      <c r="AE34" s="9" t="s">
        <v>27</v>
      </c>
      <c r="AF34" s="1"/>
      <c r="AG34" s="1"/>
    </row>
    <row r="35" spans="1:34">
      <c r="A35" s="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"/>
      <c r="AG35" s="1"/>
    </row>
    <row r="36" spans="1:34">
      <c r="A36" s="1"/>
      <c r="B36" s="48" t="s">
        <v>142</v>
      </c>
      <c r="C36" s="48" t="s">
        <v>142</v>
      </c>
      <c r="D36" s="48" t="s">
        <v>142</v>
      </c>
      <c r="E36" s="48" t="s">
        <v>142</v>
      </c>
      <c r="F36" s="48" t="s">
        <v>142</v>
      </c>
      <c r="G36" s="48" t="s">
        <v>143</v>
      </c>
      <c r="H36" s="48" t="s">
        <v>44</v>
      </c>
      <c r="I36" s="48" t="s">
        <v>44</v>
      </c>
      <c r="J36" s="48" t="s">
        <v>44</v>
      </c>
      <c r="K36" s="48" t="s">
        <v>44</v>
      </c>
      <c r="L36" s="48" t="s">
        <v>44</v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1"/>
      <c r="AG36" s="1"/>
    </row>
    <row r="37" spans="1:34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9" t="s">
        <v>71</v>
      </c>
      <c r="M37" s="9"/>
      <c r="N37" s="9" t="s">
        <v>71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"/>
      <c r="AG37" s="1"/>
    </row>
    <row r="39" spans="1:34">
      <c r="A39" s="1"/>
      <c r="B39" s="9">
        <f>DATE($B$1,5,COLUMN()-1)</f>
        <v>46143</v>
      </c>
      <c r="C39" s="9">
        <f t="shared" ref="C39:AF39" si="9">DATE($B$1,5,COLUMN()-1)</f>
        <v>46144</v>
      </c>
      <c r="D39" s="9">
        <f t="shared" si="9"/>
        <v>46145</v>
      </c>
      <c r="E39" s="9">
        <f t="shared" si="9"/>
        <v>46146</v>
      </c>
      <c r="F39" s="9">
        <f t="shared" si="9"/>
        <v>46147</v>
      </c>
      <c r="G39" s="9">
        <f t="shared" si="9"/>
        <v>46148</v>
      </c>
      <c r="H39" s="9">
        <f t="shared" si="9"/>
        <v>46149</v>
      </c>
      <c r="I39" s="9">
        <f t="shared" si="9"/>
        <v>46150</v>
      </c>
      <c r="J39" s="9">
        <f t="shared" si="9"/>
        <v>46151</v>
      </c>
      <c r="K39" s="9">
        <f t="shared" si="9"/>
        <v>46152</v>
      </c>
      <c r="L39" s="9">
        <f t="shared" si="9"/>
        <v>46153</v>
      </c>
      <c r="M39" s="9">
        <f t="shared" si="9"/>
        <v>46154</v>
      </c>
      <c r="N39" s="9">
        <f t="shared" si="9"/>
        <v>46155</v>
      </c>
      <c r="O39" s="9">
        <f t="shared" si="9"/>
        <v>46156</v>
      </c>
      <c r="P39" s="9">
        <f t="shared" si="9"/>
        <v>46157</v>
      </c>
      <c r="Q39" s="9">
        <f t="shared" si="9"/>
        <v>46158</v>
      </c>
      <c r="R39" s="9">
        <f t="shared" si="9"/>
        <v>46159</v>
      </c>
      <c r="S39" s="9">
        <f t="shared" si="9"/>
        <v>46160</v>
      </c>
      <c r="T39" s="9">
        <f t="shared" si="9"/>
        <v>46161</v>
      </c>
      <c r="U39" s="9">
        <f t="shared" si="9"/>
        <v>46162</v>
      </c>
      <c r="V39" s="9">
        <f t="shared" si="9"/>
        <v>46163</v>
      </c>
      <c r="W39" s="9">
        <f t="shared" si="9"/>
        <v>46164</v>
      </c>
      <c r="X39" s="9">
        <f t="shared" si="9"/>
        <v>46165</v>
      </c>
      <c r="Y39" s="9">
        <f t="shared" si="9"/>
        <v>46166</v>
      </c>
      <c r="Z39" s="9">
        <f t="shared" si="9"/>
        <v>46167</v>
      </c>
      <c r="AA39" s="9">
        <f t="shared" si="9"/>
        <v>46168</v>
      </c>
      <c r="AB39" s="9">
        <f t="shared" si="9"/>
        <v>46169</v>
      </c>
      <c r="AC39" s="9">
        <f t="shared" si="9"/>
        <v>46170</v>
      </c>
      <c r="AD39" s="9">
        <f t="shared" si="9"/>
        <v>46171</v>
      </c>
      <c r="AE39" s="9">
        <f t="shared" si="9"/>
        <v>46172</v>
      </c>
      <c r="AF39" s="9">
        <f t="shared" si="9"/>
        <v>46173</v>
      </c>
      <c r="AG39" s="1"/>
      <c r="AH39" s="7" t="s">
        <v>46</v>
      </c>
    </row>
    <row r="40" spans="1:34">
      <c r="A40" s="1"/>
      <c r="B40" s="13" t="str">
        <f t="shared" ref="B40:AF40" si="10">TEXT(B39,"ddd")</f>
        <v>Fri</v>
      </c>
      <c r="C40" s="13" t="str">
        <f t="shared" si="10"/>
        <v>Sat</v>
      </c>
      <c r="D40" s="13" t="str">
        <f t="shared" si="10"/>
        <v>Sun</v>
      </c>
      <c r="E40" s="13" t="str">
        <f t="shared" si="10"/>
        <v>Mon</v>
      </c>
      <c r="F40" s="13" t="str">
        <f t="shared" si="10"/>
        <v>Tue</v>
      </c>
      <c r="G40" s="13" t="str">
        <f t="shared" si="10"/>
        <v>Wed</v>
      </c>
      <c r="H40" s="13" t="str">
        <f t="shared" si="10"/>
        <v>Thu</v>
      </c>
      <c r="I40" s="13" t="str">
        <f t="shared" si="10"/>
        <v>Fri</v>
      </c>
      <c r="J40" s="13" t="str">
        <f t="shared" si="10"/>
        <v>Sat</v>
      </c>
      <c r="K40" s="13" t="str">
        <f t="shared" si="10"/>
        <v>Sun</v>
      </c>
      <c r="L40" s="13" t="str">
        <f t="shared" si="10"/>
        <v>Mon</v>
      </c>
      <c r="M40" s="13" t="str">
        <f t="shared" si="10"/>
        <v>Tue</v>
      </c>
      <c r="N40" s="13" t="str">
        <f t="shared" si="10"/>
        <v>Wed</v>
      </c>
      <c r="O40" s="13" t="str">
        <f t="shared" si="10"/>
        <v>Thu</v>
      </c>
      <c r="P40" s="13" t="str">
        <f t="shared" si="10"/>
        <v>Fri</v>
      </c>
      <c r="Q40" s="13" t="str">
        <f t="shared" si="10"/>
        <v>Sat</v>
      </c>
      <c r="R40" s="13" t="str">
        <f t="shared" si="10"/>
        <v>Sun</v>
      </c>
      <c r="S40" s="13" t="str">
        <f t="shared" si="10"/>
        <v>Mon</v>
      </c>
      <c r="T40" s="13" t="str">
        <f t="shared" si="10"/>
        <v>Tue</v>
      </c>
      <c r="U40" s="13" t="str">
        <f t="shared" si="10"/>
        <v>Wed</v>
      </c>
      <c r="V40" s="13" t="str">
        <f t="shared" si="10"/>
        <v>Thu</v>
      </c>
      <c r="W40" s="13" t="str">
        <f t="shared" si="10"/>
        <v>Fri</v>
      </c>
      <c r="X40" s="13" t="str">
        <f t="shared" si="10"/>
        <v>Sat</v>
      </c>
      <c r="Y40" s="13" t="str">
        <f t="shared" si="10"/>
        <v>Sun</v>
      </c>
      <c r="Z40" s="13" t="str">
        <f t="shared" si="10"/>
        <v>Mon</v>
      </c>
      <c r="AA40" s="13" t="str">
        <f t="shared" si="10"/>
        <v>Tue</v>
      </c>
      <c r="AB40" s="13" t="str">
        <f t="shared" si="10"/>
        <v>Wed</v>
      </c>
      <c r="AC40" s="13" t="str">
        <f t="shared" si="10"/>
        <v>Thu</v>
      </c>
      <c r="AD40" s="13" t="str">
        <f t="shared" si="10"/>
        <v>Fri</v>
      </c>
      <c r="AE40" s="13" t="str">
        <f t="shared" si="10"/>
        <v>Sat</v>
      </c>
      <c r="AF40" s="13" t="str">
        <f t="shared" si="10"/>
        <v>Sun</v>
      </c>
      <c r="AG40" s="1"/>
      <c r="AH40" s="16" t="s">
        <v>47</v>
      </c>
    </row>
    <row r="41" spans="1:34">
      <c r="A41" s="1"/>
      <c r="B41" s="9" t="s">
        <v>22</v>
      </c>
      <c r="C41" s="9" t="s">
        <v>22</v>
      </c>
      <c r="D41" s="9" t="s">
        <v>22</v>
      </c>
      <c r="E41" s="9" t="s">
        <v>24</v>
      </c>
      <c r="F41" s="9" t="s">
        <v>24</v>
      </c>
      <c r="G41" s="9" t="s">
        <v>24</v>
      </c>
      <c r="H41" s="9" t="s">
        <v>24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  <c r="N41" s="9" t="s">
        <v>22</v>
      </c>
      <c r="O41" s="9" t="s">
        <v>22</v>
      </c>
      <c r="P41" s="9" t="s">
        <v>22</v>
      </c>
      <c r="Q41" s="9" t="s">
        <v>22</v>
      </c>
      <c r="R41" s="9" t="s">
        <v>22</v>
      </c>
      <c r="S41" s="9" t="s">
        <v>24</v>
      </c>
      <c r="T41" s="9" t="s">
        <v>24</v>
      </c>
      <c r="U41" s="9" t="s">
        <v>24</v>
      </c>
      <c r="V41" s="9" t="s">
        <v>24</v>
      </c>
      <c r="W41" s="9" t="s">
        <v>24</v>
      </c>
      <c r="X41" s="9" t="s">
        <v>24</v>
      </c>
      <c r="Y41" s="9" t="s">
        <v>24</v>
      </c>
      <c r="Z41" s="9" t="s">
        <v>24</v>
      </c>
      <c r="AA41" s="9" t="s">
        <v>24</v>
      </c>
      <c r="AB41" s="9" t="s">
        <v>24</v>
      </c>
      <c r="AC41" s="9" t="s">
        <v>24</v>
      </c>
      <c r="AD41" s="9" t="s">
        <v>24</v>
      </c>
      <c r="AE41" s="9" t="s">
        <v>24</v>
      </c>
      <c r="AF41" s="9" t="s">
        <v>24</v>
      </c>
      <c r="AG41" s="1"/>
      <c r="AH41" s="17" t="s">
        <v>48</v>
      </c>
    </row>
    <row r="42" spans="1:34">
      <c r="A42" s="1"/>
      <c r="B42" s="9" t="s">
        <v>25</v>
      </c>
      <c r="C42" s="9" t="s">
        <v>25</v>
      </c>
      <c r="D42" s="9" t="s">
        <v>25</v>
      </c>
      <c r="E42" s="9" t="s">
        <v>23</v>
      </c>
      <c r="F42" s="9" t="s">
        <v>23</v>
      </c>
      <c r="G42" s="9" t="s">
        <v>23</v>
      </c>
      <c r="H42" s="9" t="s">
        <v>23</v>
      </c>
      <c r="I42" s="9" t="s">
        <v>23</v>
      </c>
      <c r="J42" s="9" t="s">
        <v>23</v>
      </c>
      <c r="K42" s="9" t="s">
        <v>23</v>
      </c>
      <c r="L42" s="9" t="s">
        <v>25</v>
      </c>
      <c r="M42" s="9" t="s">
        <v>25</v>
      </c>
      <c r="N42" s="9" t="s">
        <v>25</v>
      </c>
      <c r="O42" s="9" t="s">
        <v>25</v>
      </c>
      <c r="P42" s="9" t="s">
        <v>25</v>
      </c>
      <c r="Q42" s="9" t="s">
        <v>25</v>
      </c>
      <c r="R42" s="9" t="s">
        <v>25</v>
      </c>
      <c r="S42" s="9" t="s">
        <v>23</v>
      </c>
      <c r="T42" s="9" t="s">
        <v>23</v>
      </c>
      <c r="U42" s="9" t="s">
        <v>23</v>
      </c>
      <c r="V42" s="9" t="s">
        <v>23</v>
      </c>
      <c r="W42" s="9" t="s">
        <v>27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25</v>
      </c>
      <c r="AC42" s="9" t="s">
        <v>25</v>
      </c>
      <c r="AD42" s="9" t="s">
        <v>25</v>
      </c>
      <c r="AE42" s="9" t="s">
        <v>25</v>
      </c>
      <c r="AF42" s="9" t="s">
        <v>25</v>
      </c>
      <c r="AG42" s="1"/>
    </row>
    <row r="43" spans="1:34">
      <c r="A43" s="1"/>
      <c r="B43" s="9" t="s">
        <v>23</v>
      </c>
      <c r="C43" s="9" t="s">
        <v>23</v>
      </c>
      <c r="D43" s="9" t="s">
        <v>23</v>
      </c>
      <c r="E43" s="9" t="s">
        <v>26</v>
      </c>
      <c r="F43" s="9" t="s">
        <v>26</v>
      </c>
      <c r="G43" s="9" t="s">
        <v>26</v>
      </c>
      <c r="H43" s="9" t="s">
        <v>26</v>
      </c>
      <c r="I43" s="9" t="s">
        <v>26</v>
      </c>
      <c r="J43" s="9" t="s">
        <v>26</v>
      </c>
      <c r="K43" s="9" t="s">
        <v>26</v>
      </c>
      <c r="L43" s="9" t="s">
        <v>27</v>
      </c>
      <c r="M43" s="9" t="s">
        <v>27</v>
      </c>
      <c r="N43" s="9" t="s">
        <v>27</v>
      </c>
      <c r="O43" s="9" t="s">
        <v>27</v>
      </c>
      <c r="P43" s="9" t="s">
        <v>27</v>
      </c>
      <c r="Q43" s="9" t="s">
        <v>27</v>
      </c>
      <c r="R43" s="9" t="s">
        <v>27</v>
      </c>
      <c r="S43" s="9" t="s">
        <v>27</v>
      </c>
      <c r="T43" s="9" t="s">
        <v>26</v>
      </c>
      <c r="U43" s="9" t="s">
        <v>26</v>
      </c>
      <c r="V43" s="9" t="s">
        <v>26</v>
      </c>
      <c r="W43" s="9" t="s">
        <v>26</v>
      </c>
      <c r="X43" s="9" t="s">
        <v>26</v>
      </c>
      <c r="Y43" s="9" t="s">
        <v>26</v>
      </c>
      <c r="Z43" s="9" t="s">
        <v>26</v>
      </c>
      <c r="AA43" s="9" t="s">
        <v>26</v>
      </c>
      <c r="AB43" s="9" t="s">
        <v>26</v>
      </c>
      <c r="AC43" s="9" t="s">
        <v>26</v>
      </c>
      <c r="AD43" s="9" t="s">
        <v>26</v>
      </c>
      <c r="AE43" s="9" t="s">
        <v>26</v>
      </c>
      <c r="AF43" s="9" t="s">
        <v>26</v>
      </c>
      <c r="AG43" s="1"/>
    </row>
    <row r="44" spans="1:34">
      <c r="A44" s="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"/>
    </row>
    <row r="45" spans="1:34">
      <c r="A45" s="1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 t="s">
        <v>22</v>
      </c>
      <c r="X45" s="48" t="s">
        <v>22</v>
      </c>
      <c r="Y45" s="48" t="s">
        <v>22</v>
      </c>
      <c r="Z45" s="48" t="s">
        <v>22</v>
      </c>
      <c r="AA45" s="48" t="s">
        <v>22</v>
      </c>
      <c r="AB45" s="48" t="s">
        <v>22</v>
      </c>
      <c r="AC45" s="48" t="s">
        <v>22</v>
      </c>
      <c r="AD45" s="48" t="s">
        <v>22</v>
      </c>
      <c r="AE45" s="48" t="s">
        <v>22</v>
      </c>
      <c r="AF45" s="48" t="s">
        <v>22</v>
      </c>
      <c r="AG45" s="1"/>
    </row>
    <row r="46" spans="1:34">
      <c r="A46" s="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"/>
    </row>
    <row r="48" spans="1:34">
      <c r="A48" s="1"/>
      <c r="B48" s="9">
        <f>DATE($B$1, 6, COLUMN()-1)</f>
        <v>46174</v>
      </c>
      <c r="C48" s="9">
        <f t="shared" ref="C48:AE48" si="11">DATE($B$1, 6, COLUMN()-1)</f>
        <v>46175</v>
      </c>
      <c r="D48" s="9">
        <f t="shared" si="11"/>
        <v>46176</v>
      </c>
      <c r="E48" s="9">
        <f t="shared" si="11"/>
        <v>46177</v>
      </c>
      <c r="F48" s="9">
        <f t="shared" si="11"/>
        <v>46178</v>
      </c>
      <c r="G48" s="9">
        <f t="shared" si="11"/>
        <v>46179</v>
      </c>
      <c r="H48" s="9">
        <f t="shared" si="11"/>
        <v>46180</v>
      </c>
      <c r="I48" s="9">
        <f t="shared" si="11"/>
        <v>46181</v>
      </c>
      <c r="J48" s="9">
        <f t="shared" si="11"/>
        <v>46182</v>
      </c>
      <c r="K48" s="9">
        <f t="shared" si="11"/>
        <v>46183</v>
      </c>
      <c r="L48" s="9">
        <f t="shared" si="11"/>
        <v>46184</v>
      </c>
      <c r="M48" s="9">
        <f t="shared" si="11"/>
        <v>46185</v>
      </c>
      <c r="N48" s="9">
        <f t="shared" si="11"/>
        <v>46186</v>
      </c>
      <c r="O48" s="9">
        <f t="shared" si="11"/>
        <v>46187</v>
      </c>
      <c r="P48" s="9">
        <f t="shared" si="11"/>
        <v>46188</v>
      </c>
      <c r="Q48" s="9">
        <f t="shared" si="11"/>
        <v>46189</v>
      </c>
      <c r="R48" s="9">
        <f t="shared" si="11"/>
        <v>46190</v>
      </c>
      <c r="S48" s="9">
        <f t="shared" si="11"/>
        <v>46191</v>
      </c>
      <c r="T48" s="9">
        <f t="shared" si="11"/>
        <v>46192</v>
      </c>
      <c r="U48" s="9">
        <f t="shared" si="11"/>
        <v>46193</v>
      </c>
      <c r="V48" s="9">
        <f t="shared" si="11"/>
        <v>46194</v>
      </c>
      <c r="W48" s="9">
        <f t="shared" si="11"/>
        <v>46195</v>
      </c>
      <c r="X48" s="9">
        <f t="shared" si="11"/>
        <v>46196</v>
      </c>
      <c r="Y48" s="9">
        <f t="shared" si="11"/>
        <v>46197</v>
      </c>
      <c r="Z48" s="9">
        <f t="shared" si="11"/>
        <v>46198</v>
      </c>
      <c r="AA48" s="9">
        <f t="shared" si="11"/>
        <v>46199</v>
      </c>
      <c r="AB48" s="9">
        <f t="shared" si="11"/>
        <v>46200</v>
      </c>
      <c r="AC48" s="9">
        <f t="shared" si="11"/>
        <v>46201</v>
      </c>
      <c r="AD48" s="9">
        <f t="shared" si="11"/>
        <v>46202</v>
      </c>
      <c r="AE48" s="9">
        <f t="shared" si="11"/>
        <v>46203</v>
      </c>
      <c r="AF48" s="1"/>
      <c r="AG48" s="1"/>
    </row>
    <row r="49" spans="1:33">
      <c r="A49" s="1"/>
      <c r="B49" s="13" t="str">
        <f t="shared" ref="B49:AE49" si="12">TEXT(B48,"ddd")</f>
        <v>Mon</v>
      </c>
      <c r="C49" s="13" t="str">
        <f t="shared" si="12"/>
        <v>Tue</v>
      </c>
      <c r="D49" s="13" t="str">
        <f t="shared" si="12"/>
        <v>Wed</v>
      </c>
      <c r="E49" s="13" t="str">
        <f t="shared" si="12"/>
        <v>Thu</v>
      </c>
      <c r="F49" s="13" t="str">
        <f t="shared" si="12"/>
        <v>Fri</v>
      </c>
      <c r="G49" s="13" t="str">
        <f t="shared" si="12"/>
        <v>Sat</v>
      </c>
      <c r="H49" s="13" t="str">
        <f t="shared" si="12"/>
        <v>Sun</v>
      </c>
      <c r="I49" s="13" t="str">
        <f t="shared" si="12"/>
        <v>Mon</v>
      </c>
      <c r="J49" s="13" t="str">
        <f t="shared" si="12"/>
        <v>Tue</v>
      </c>
      <c r="K49" s="13" t="str">
        <f t="shared" si="12"/>
        <v>Wed</v>
      </c>
      <c r="L49" s="13" t="str">
        <f t="shared" si="12"/>
        <v>Thu</v>
      </c>
      <c r="M49" s="13" t="str">
        <f t="shared" si="12"/>
        <v>Fri</v>
      </c>
      <c r="N49" s="13" t="str">
        <f t="shared" si="12"/>
        <v>Sat</v>
      </c>
      <c r="O49" s="13" t="str">
        <f t="shared" si="12"/>
        <v>Sun</v>
      </c>
      <c r="P49" s="13" t="str">
        <f t="shared" si="12"/>
        <v>Mon</v>
      </c>
      <c r="Q49" s="13" t="str">
        <f t="shared" si="12"/>
        <v>Tue</v>
      </c>
      <c r="R49" s="13" t="str">
        <f t="shared" si="12"/>
        <v>Wed</v>
      </c>
      <c r="S49" s="13" t="str">
        <f t="shared" si="12"/>
        <v>Thu</v>
      </c>
      <c r="T49" s="13" t="str">
        <f t="shared" si="12"/>
        <v>Fri</v>
      </c>
      <c r="U49" s="13" t="str">
        <f t="shared" si="12"/>
        <v>Sat</v>
      </c>
      <c r="V49" s="13" t="str">
        <f t="shared" si="12"/>
        <v>Sun</v>
      </c>
      <c r="W49" s="13" t="str">
        <f t="shared" si="12"/>
        <v>Mon</v>
      </c>
      <c r="X49" s="13" t="str">
        <f t="shared" si="12"/>
        <v>Tue</v>
      </c>
      <c r="Y49" s="13" t="str">
        <f t="shared" si="12"/>
        <v>Wed</v>
      </c>
      <c r="Z49" s="13" t="str">
        <f t="shared" si="12"/>
        <v>Thu</v>
      </c>
      <c r="AA49" s="13" t="str">
        <f t="shared" si="12"/>
        <v>Fri</v>
      </c>
      <c r="AB49" s="13" t="str">
        <f t="shared" si="12"/>
        <v>Sat</v>
      </c>
      <c r="AC49" s="13" t="str">
        <f t="shared" si="12"/>
        <v>Sun</v>
      </c>
      <c r="AD49" s="13" t="str">
        <f t="shared" si="12"/>
        <v>Mon</v>
      </c>
      <c r="AE49" s="13" t="str">
        <f t="shared" si="12"/>
        <v>Tue</v>
      </c>
      <c r="AF49" s="14"/>
      <c r="AG49" s="1"/>
    </row>
    <row r="50" spans="1:33">
      <c r="A50" s="1"/>
      <c r="B50" s="9" t="s">
        <v>23</v>
      </c>
      <c r="C50" s="9" t="s">
        <v>23</v>
      </c>
      <c r="D50" s="9" t="s">
        <v>23</v>
      </c>
      <c r="E50" s="9" t="s">
        <v>23</v>
      </c>
      <c r="F50" s="9" t="s">
        <v>23</v>
      </c>
      <c r="G50" s="9" t="s">
        <v>23</v>
      </c>
      <c r="H50" s="9" t="s">
        <v>23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  <c r="N50" s="9" t="s">
        <v>22</v>
      </c>
      <c r="O50" s="9" t="s">
        <v>22</v>
      </c>
      <c r="P50" s="9" t="s">
        <v>22</v>
      </c>
      <c r="Q50" s="9" t="s">
        <v>22</v>
      </c>
      <c r="R50" s="9" t="s">
        <v>22</v>
      </c>
      <c r="S50" s="9" t="s">
        <v>22</v>
      </c>
      <c r="T50" s="9" t="s">
        <v>22</v>
      </c>
      <c r="U50" s="9" t="s">
        <v>22</v>
      </c>
      <c r="V50" s="9" t="s">
        <v>22</v>
      </c>
      <c r="W50" s="9" t="s">
        <v>24</v>
      </c>
      <c r="X50" s="9" t="s">
        <v>24</v>
      </c>
      <c r="Y50" s="9" t="s">
        <v>24</v>
      </c>
      <c r="Z50" s="9" t="s">
        <v>24</v>
      </c>
      <c r="AA50" s="9" t="s">
        <v>24</v>
      </c>
      <c r="AB50" s="9" t="s">
        <v>24</v>
      </c>
      <c r="AC50" s="9" t="s">
        <v>24</v>
      </c>
      <c r="AD50" s="9" t="s">
        <v>24</v>
      </c>
      <c r="AE50" s="9" t="s">
        <v>24</v>
      </c>
      <c r="AF50" s="1"/>
      <c r="AG50" s="1"/>
    </row>
    <row r="51" spans="1:33">
      <c r="A51" s="1"/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23</v>
      </c>
      <c r="J51" s="9" t="s">
        <v>23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25</v>
      </c>
      <c r="Q51" s="9" t="s">
        <v>25</v>
      </c>
      <c r="R51" s="9" t="s">
        <v>25</v>
      </c>
      <c r="S51" s="9" t="s">
        <v>25</v>
      </c>
      <c r="T51" s="9" t="s">
        <v>25</v>
      </c>
      <c r="U51" s="9" t="s">
        <v>25</v>
      </c>
      <c r="V51" s="9" t="s">
        <v>25</v>
      </c>
      <c r="W51" s="9" t="s">
        <v>23</v>
      </c>
      <c r="X51" s="9" t="s">
        <v>23</v>
      </c>
      <c r="Y51" s="9" t="s">
        <v>23</v>
      </c>
      <c r="Z51" s="9" t="s">
        <v>23</v>
      </c>
      <c r="AA51" s="9" t="s">
        <v>23</v>
      </c>
      <c r="AB51" s="9" t="s">
        <v>23</v>
      </c>
      <c r="AC51" s="9" t="s">
        <v>23</v>
      </c>
      <c r="AD51" s="9" t="s">
        <v>25</v>
      </c>
      <c r="AE51" s="9" t="s">
        <v>25</v>
      </c>
      <c r="AF51" s="1"/>
      <c r="AG51" s="1"/>
    </row>
    <row r="52" spans="1:33">
      <c r="A52" s="1"/>
      <c r="B52" s="9" t="s">
        <v>25</v>
      </c>
      <c r="C52" s="9" t="s">
        <v>25</v>
      </c>
      <c r="D52" s="9" t="s">
        <v>25</v>
      </c>
      <c r="E52" s="9" t="s">
        <v>25</v>
      </c>
      <c r="F52" s="9" t="s">
        <v>25</v>
      </c>
      <c r="G52" s="9" t="s">
        <v>26</v>
      </c>
      <c r="H52" s="9" t="s">
        <v>26</v>
      </c>
      <c r="I52" s="9" t="s">
        <v>26</v>
      </c>
      <c r="J52" s="9" t="s">
        <v>26</v>
      </c>
      <c r="K52" s="9" t="s">
        <v>26</v>
      </c>
      <c r="L52" s="9" t="s">
        <v>26</v>
      </c>
      <c r="M52" s="9" t="s">
        <v>26</v>
      </c>
      <c r="N52" s="9" t="s">
        <v>26</v>
      </c>
      <c r="O52" s="9" t="s">
        <v>26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  <c r="U52" s="9" t="s">
        <v>27</v>
      </c>
      <c r="V52" s="9" t="s">
        <v>27</v>
      </c>
      <c r="W52" s="9" t="s">
        <v>26</v>
      </c>
      <c r="X52" s="9" t="s">
        <v>26</v>
      </c>
      <c r="Y52" s="9" t="s">
        <v>26</v>
      </c>
      <c r="Z52" s="9" t="s">
        <v>26</v>
      </c>
      <c r="AA52" s="9" t="s">
        <v>26</v>
      </c>
      <c r="AB52" s="9" t="s">
        <v>26</v>
      </c>
      <c r="AC52" s="9" t="s">
        <v>26</v>
      </c>
      <c r="AD52" s="9" t="s">
        <v>23</v>
      </c>
      <c r="AE52" s="9" t="s">
        <v>23</v>
      </c>
      <c r="AF52" s="1"/>
      <c r="AG52" s="1"/>
    </row>
    <row r="53" spans="1:33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"/>
      <c r="AG53" s="1"/>
    </row>
    <row r="54" spans="1:33">
      <c r="A54" s="1"/>
      <c r="B54" s="48" t="s">
        <v>22</v>
      </c>
      <c r="C54" s="48" t="s">
        <v>22</v>
      </c>
      <c r="D54" s="48" t="s">
        <v>144</v>
      </c>
      <c r="E54" s="48"/>
      <c r="F54" s="48"/>
      <c r="G54" s="48"/>
      <c r="H54" s="48"/>
      <c r="I54" s="48" t="s">
        <v>25</v>
      </c>
      <c r="J54" s="48" t="s">
        <v>25</v>
      </c>
      <c r="K54" s="48" t="s">
        <v>25</v>
      </c>
      <c r="L54" s="48" t="s">
        <v>25</v>
      </c>
      <c r="M54" s="48" t="s">
        <v>25</v>
      </c>
      <c r="N54" s="48" t="s">
        <v>25</v>
      </c>
      <c r="O54" s="48" t="s">
        <v>25</v>
      </c>
      <c r="P54" s="48"/>
      <c r="Q54" s="48"/>
      <c r="R54" s="48"/>
      <c r="S54" s="48"/>
      <c r="T54" s="48"/>
      <c r="U54" s="48"/>
      <c r="V54" s="48"/>
      <c r="W54" s="48" t="s">
        <v>141</v>
      </c>
      <c r="X54" s="48" t="s">
        <v>141</v>
      </c>
      <c r="Y54" s="48" t="s">
        <v>141</v>
      </c>
      <c r="Z54" s="48" t="s">
        <v>141</v>
      </c>
      <c r="AA54" s="48" t="s">
        <v>141</v>
      </c>
      <c r="AB54" s="48" t="s">
        <v>141</v>
      </c>
      <c r="AC54" s="48" t="s">
        <v>141</v>
      </c>
      <c r="AD54" s="48" t="s">
        <v>141</v>
      </c>
      <c r="AE54" s="48" t="s">
        <v>141</v>
      </c>
      <c r="AF54" s="1"/>
      <c r="AG54" s="1"/>
    </row>
    <row r="55" spans="1:33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"/>
      <c r="AG55" s="1"/>
    </row>
    <row r="57" spans="1:33">
      <c r="A57" s="1"/>
      <c r="B57" s="9">
        <f>DATE($B$1, 7, COLUMN()-1)</f>
        <v>46204</v>
      </c>
      <c r="C57" s="9">
        <f t="shared" ref="C57:AF57" si="13">DATE($B$1, 7, COLUMN()-1)</f>
        <v>46205</v>
      </c>
      <c r="D57" s="9">
        <f t="shared" si="13"/>
        <v>46206</v>
      </c>
      <c r="E57" s="9">
        <f t="shared" si="13"/>
        <v>46207</v>
      </c>
      <c r="F57" s="9">
        <f t="shared" si="13"/>
        <v>46208</v>
      </c>
      <c r="G57" s="9">
        <f t="shared" si="13"/>
        <v>46209</v>
      </c>
      <c r="H57" s="9">
        <f t="shared" si="13"/>
        <v>46210</v>
      </c>
      <c r="I57" s="9">
        <f t="shared" si="13"/>
        <v>46211</v>
      </c>
      <c r="J57" s="9">
        <f t="shared" si="13"/>
        <v>46212</v>
      </c>
      <c r="K57" s="9">
        <f t="shared" si="13"/>
        <v>46213</v>
      </c>
      <c r="L57" s="9">
        <f t="shared" si="13"/>
        <v>46214</v>
      </c>
      <c r="M57" s="9">
        <f t="shared" si="13"/>
        <v>46215</v>
      </c>
      <c r="N57" s="9">
        <f t="shared" si="13"/>
        <v>46216</v>
      </c>
      <c r="O57" s="9">
        <f t="shared" si="13"/>
        <v>46217</v>
      </c>
      <c r="P57" s="9">
        <f t="shared" si="13"/>
        <v>46218</v>
      </c>
      <c r="Q57" s="9">
        <f t="shared" si="13"/>
        <v>46219</v>
      </c>
      <c r="R57" s="9">
        <f t="shared" si="13"/>
        <v>46220</v>
      </c>
      <c r="S57" s="9">
        <f t="shared" si="13"/>
        <v>46221</v>
      </c>
      <c r="T57" s="9">
        <f t="shared" si="13"/>
        <v>46222</v>
      </c>
      <c r="U57" s="9">
        <f t="shared" si="13"/>
        <v>46223</v>
      </c>
      <c r="V57" s="9">
        <f t="shared" si="13"/>
        <v>46224</v>
      </c>
      <c r="W57" s="9">
        <f t="shared" si="13"/>
        <v>46225</v>
      </c>
      <c r="X57" s="9">
        <f t="shared" si="13"/>
        <v>46226</v>
      </c>
      <c r="Y57" s="9">
        <f t="shared" si="13"/>
        <v>46227</v>
      </c>
      <c r="Z57" s="9">
        <f t="shared" si="13"/>
        <v>46228</v>
      </c>
      <c r="AA57" s="9">
        <f t="shared" si="13"/>
        <v>46229</v>
      </c>
      <c r="AB57" s="9">
        <f t="shared" si="13"/>
        <v>46230</v>
      </c>
      <c r="AC57" s="9">
        <f t="shared" si="13"/>
        <v>46231</v>
      </c>
      <c r="AD57" s="9">
        <f t="shared" si="13"/>
        <v>46232</v>
      </c>
      <c r="AE57" s="9">
        <f t="shared" si="13"/>
        <v>46233</v>
      </c>
      <c r="AF57" s="9">
        <f t="shared" si="13"/>
        <v>46234</v>
      </c>
      <c r="AG57" s="1"/>
    </row>
    <row r="58" spans="1:33">
      <c r="A58" s="1"/>
      <c r="B58" s="13" t="str">
        <f t="shared" ref="B58:AF58" si="14">TEXT(B57,"ddd")</f>
        <v>Wed</v>
      </c>
      <c r="C58" s="13" t="str">
        <f t="shared" si="14"/>
        <v>Thu</v>
      </c>
      <c r="D58" s="13" t="str">
        <f t="shared" si="14"/>
        <v>Fri</v>
      </c>
      <c r="E58" s="13" t="str">
        <f t="shared" si="14"/>
        <v>Sat</v>
      </c>
      <c r="F58" s="13" t="str">
        <f t="shared" si="14"/>
        <v>Sun</v>
      </c>
      <c r="G58" s="13" t="str">
        <f t="shared" si="14"/>
        <v>Mon</v>
      </c>
      <c r="H58" s="13" t="str">
        <f t="shared" si="14"/>
        <v>Tue</v>
      </c>
      <c r="I58" s="13" t="str">
        <f t="shared" si="14"/>
        <v>Wed</v>
      </c>
      <c r="J58" s="13" t="str">
        <f t="shared" si="14"/>
        <v>Thu</v>
      </c>
      <c r="K58" s="13" t="str">
        <f t="shared" si="14"/>
        <v>Fri</v>
      </c>
      <c r="L58" s="13" t="str">
        <f t="shared" si="14"/>
        <v>Sat</v>
      </c>
      <c r="M58" s="13" t="str">
        <f t="shared" si="14"/>
        <v>Sun</v>
      </c>
      <c r="N58" s="13" t="str">
        <f t="shared" si="14"/>
        <v>Mon</v>
      </c>
      <c r="O58" s="13" t="str">
        <f t="shared" si="14"/>
        <v>Tue</v>
      </c>
      <c r="P58" s="13" t="str">
        <f t="shared" si="14"/>
        <v>Wed</v>
      </c>
      <c r="Q58" s="13" t="str">
        <f t="shared" si="14"/>
        <v>Thu</v>
      </c>
      <c r="R58" s="13" t="str">
        <f t="shared" si="14"/>
        <v>Fri</v>
      </c>
      <c r="S58" s="13" t="str">
        <f t="shared" si="14"/>
        <v>Sat</v>
      </c>
      <c r="T58" s="13" t="str">
        <f t="shared" si="14"/>
        <v>Sun</v>
      </c>
      <c r="U58" s="13" t="str">
        <f t="shared" si="14"/>
        <v>Mon</v>
      </c>
      <c r="V58" s="13" t="str">
        <f t="shared" si="14"/>
        <v>Tue</v>
      </c>
      <c r="W58" s="13" t="str">
        <f t="shared" si="14"/>
        <v>Wed</v>
      </c>
      <c r="X58" s="13" t="str">
        <f t="shared" si="14"/>
        <v>Thu</v>
      </c>
      <c r="Y58" s="13" t="str">
        <f t="shared" si="14"/>
        <v>Fri</v>
      </c>
      <c r="Z58" s="13" t="str">
        <f t="shared" si="14"/>
        <v>Sat</v>
      </c>
      <c r="AA58" s="13" t="str">
        <f t="shared" si="14"/>
        <v>Sun</v>
      </c>
      <c r="AB58" s="13" t="str">
        <f t="shared" si="14"/>
        <v>Mon</v>
      </c>
      <c r="AC58" s="13" t="str">
        <f t="shared" si="14"/>
        <v>Tue</v>
      </c>
      <c r="AD58" s="13" t="str">
        <f t="shared" si="14"/>
        <v>Wed</v>
      </c>
      <c r="AE58" s="13" t="str">
        <f t="shared" si="14"/>
        <v>Thu</v>
      </c>
      <c r="AF58" s="13" t="str">
        <f t="shared" si="14"/>
        <v>Fri</v>
      </c>
      <c r="AG58" s="1"/>
    </row>
    <row r="59" spans="1:33">
      <c r="A59" s="1"/>
      <c r="B59" s="9" t="s">
        <v>24</v>
      </c>
      <c r="C59" s="9" t="s">
        <v>24</v>
      </c>
      <c r="D59" s="9" t="s">
        <v>24</v>
      </c>
      <c r="E59" s="9" t="s">
        <v>24</v>
      </c>
      <c r="F59" s="9" t="s">
        <v>24</v>
      </c>
      <c r="G59" s="9" t="s">
        <v>22</v>
      </c>
      <c r="H59" s="9" t="s">
        <v>22</v>
      </c>
      <c r="I59" s="9" t="s">
        <v>22</v>
      </c>
      <c r="J59" s="9" t="s">
        <v>22</v>
      </c>
      <c r="K59" s="9" t="s">
        <v>22</v>
      </c>
      <c r="L59" s="9" t="s">
        <v>22</v>
      </c>
      <c r="M59" s="9" t="s">
        <v>22</v>
      </c>
      <c r="N59" s="9" t="s">
        <v>22</v>
      </c>
      <c r="O59" s="9" t="s">
        <v>22</v>
      </c>
      <c r="P59" s="9" t="s">
        <v>22</v>
      </c>
      <c r="Q59" s="9" t="s">
        <v>22</v>
      </c>
      <c r="R59" s="9" t="s">
        <v>22</v>
      </c>
      <c r="S59" s="9" t="s">
        <v>22</v>
      </c>
      <c r="T59" s="9" t="s">
        <v>22</v>
      </c>
      <c r="U59" s="9" t="s">
        <v>24</v>
      </c>
      <c r="V59" s="9" t="s">
        <v>24</v>
      </c>
      <c r="W59" s="9" t="s">
        <v>24</v>
      </c>
      <c r="X59" s="9" t="s">
        <v>24</v>
      </c>
      <c r="Y59" s="9" t="s">
        <v>24</v>
      </c>
      <c r="Z59" s="9" t="s">
        <v>24</v>
      </c>
      <c r="AA59" s="9" t="s">
        <v>24</v>
      </c>
      <c r="AB59" s="9" t="s">
        <v>24</v>
      </c>
      <c r="AC59" s="9" t="s">
        <v>24</v>
      </c>
      <c r="AD59" s="9" t="s">
        <v>24</v>
      </c>
      <c r="AE59" s="9" t="s">
        <v>24</v>
      </c>
      <c r="AF59" s="9" t="s">
        <v>24</v>
      </c>
      <c r="AG59" s="1"/>
    </row>
    <row r="60" spans="1:33">
      <c r="A60" s="1"/>
      <c r="B60" s="9" t="s">
        <v>25</v>
      </c>
      <c r="C60" s="9" t="s">
        <v>25</v>
      </c>
      <c r="D60" s="9" t="s">
        <v>25</v>
      </c>
      <c r="E60" s="9" t="s">
        <v>25</v>
      </c>
      <c r="F60" s="9" t="s">
        <v>25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25</v>
      </c>
      <c r="O60" s="9" t="s">
        <v>25</v>
      </c>
      <c r="P60" s="9" t="s">
        <v>25</v>
      </c>
      <c r="Q60" s="9" t="s">
        <v>25</v>
      </c>
      <c r="R60" s="9" t="s">
        <v>25</v>
      </c>
      <c r="S60" s="9" t="s">
        <v>25</v>
      </c>
      <c r="T60" s="9" t="s">
        <v>25</v>
      </c>
      <c r="U60" s="9" t="s">
        <v>23</v>
      </c>
      <c r="V60" s="9" t="s">
        <v>23</v>
      </c>
      <c r="W60" s="9" t="s">
        <v>23</v>
      </c>
      <c r="X60" s="9" t="s">
        <v>23</v>
      </c>
      <c r="Y60" s="9" t="s">
        <v>23</v>
      </c>
      <c r="Z60" s="9" t="s">
        <v>23</v>
      </c>
      <c r="AA60" s="9" t="s">
        <v>23</v>
      </c>
      <c r="AB60" s="9" t="s">
        <v>25</v>
      </c>
      <c r="AC60" s="9" t="s">
        <v>25</v>
      </c>
      <c r="AD60" s="9" t="s">
        <v>25</v>
      </c>
      <c r="AE60" s="9" t="s">
        <v>25</v>
      </c>
      <c r="AF60" s="9" t="s">
        <v>25</v>
      </c>
      <c r="AG60" s="1"/>
    </row>
    <row r="61" spans="1:33">
      <c r="A61" s="1"/>
      <c r="B61" s="9" t="s">
        <v>23</v>
      </c>
      <c r="C61" s="9" t="s">
        <v>23</v>
      </c>
      <c r="D61" s="9" t="s">
        <v>23</v>
      </c>
      <c r="E61" s="9" t="s">
        <v>23</v>
      </c>
      <c r="F61" s="9" t="s">
        <v>23</v>
      </c>
      <c r="G61" s="9" t="s">
        <v>26</v>
      </c>
      <c r="H61" s="9" t="s">
        <v>26</v>
      </c>
      <c r="I61" s="9" t="s">
        <v>26</v>
      </c>
      <c r="J61" s="9" t="s">
        <v>26</v>
      </c>
      <c r="K61" s="9" t="s">
        <v>26</v>
      </c>
      <c r="L61" s="9" t="s">
        <v>26</v>
      </c>
      <c r="M61" s="9" t="s">
        <v>26</v>
      </c>
      <c r="N61" s="9" t="s">
        <v>26</v>
      </c>
      <c r="O61" s="9" t="s">
        <v>26</v>
      </c>
      <c r="P61" s="9" t="s">
        <v>26</v>
      </c>
      <c r="Q61" s="9" t="s">
        <v>26</v>
      </c>
      <c r="R61" s="9" t="s">
        <v>26</v>
      </c>
      <c r="S61" s="9" t="s">
        <v>26</v>
      </c>
      <c r="T61" s="9" t="s">
        <v>26</v>
      </c>
      <c r="U61" s="9" t="s">
        <v>27</v>
      </c>
      <c r="V61" s="9" t="s">
        <v>27</v>
      </c>
      <c r="W61" s="9" t="s">
        <v>27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26</v>
      </c>
      <c r="AC61" s="9" t="s">
        <v>26</v>
      </c>
      <c r="AD61" s="9" t="s">
        <v>26</v>
      </c>
      <c r="AE61" s="9" t="s">
        <v>26</v>
      </c>
      <c r="AF61" s="9" t="s">
        <v>26</v>
      </c>
      <c r="AG61" s="1"/>
    </row>
    <row r="62" spans="1:33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1"/>
    </row>
    <row r="63" spans="1:33">
      <c r="A63" s="1"/>
      <c r="B63" s="9" t="s">
        <v>141</v>
      </c>
      <c r="C63" s="9" t="s">
        <v>141</v>
      </c>
      <c r="D63" s="9" t="s">
        <v>141</v>
      </c>
      <c r="E63" s="9" t="s">
        <v>141</v>
      </c>
      <c r="F63" s="9" t="s">
        <v>141</v>
      </c>
      <c r="G63" s="9"/>
      <c r="H63" s="9"/>
      <c r="I63" s="9"/>
      <c r="J63" s="9"/>
      <c r="K63" s="9"/>
      <c r="L63" s="9"/>
      <c r="M63" s="9"/>
      <c r="N63" s="9" t="s">
        <v>24</v>
      </c>
      <c r="O63" s="9" t="s">
        <v>24</v>
      </c>
      <c r="P63" s="9" t="s">
        <v>24</v>
      </c>
      <c r="Q63" s="9" t="s">
        <v>24</v>
      </c>
      <c r="R63" s="9" t="s">
        <v>24</v>
      </c>
      <c r="S63" s="9" t="s">
        <v>24</v>
      </c>
      <c r="T63" s="9" t="s">
        <v>24</v>
      </c>
      <c r="U63" s="9"/>
      <c r="V63" s="9"/>
      <c r="W63" s="9"/>
      <c r="X63" s="9"/>
      <c r="Y63" s="9"/>
      <c r="Z63" s="9"/>
      <c r="AA63" s="9" t="s">
        <v>22</v>
      </c>
      <c r="AB63" s="9" t="s">
        <v>22</v>
      </c>
      <c r="AC63" s="9" t="s">
        <v>22</v>
      </c>
      <c r="AD63" s="9" t="s">
        <v>22</v>
      </c>
      <c r="AE63" s="9" t="s">
        <v>22</v>
      </c>
      <c r="AF63" s="9" t="s">
        <v>22</v>
      </c>
      <c r="AG63" s="1"/>
    </row>
    <row r="64" spans="1:33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"/>
    </row>
    <row r="66" spans="1:34">
      <c r="A66" s="1"/>
      <c r="B66" s="9">
        <f>DATE($B$1,8, COLUMN()-1)</f>
        <v>46235</v>
      </c>
      <c r="C66" s="9">
        <f t="shared" ref="C66:AF66" si="15">DATE($B$1,8, COLUMN()-1)</f>
        <v>46236</v>
      </c>
      <c r="D66" s="9">
        <f t="shared" si="15"/>
        <v>46237</v>
      </c>
      <c r="E66" s="9">
        <f t="shared" si="15"/>
        <v>46238</v>
      </c>
      <c r="F66" s="9">
        <f t="shared" si="15"/>
        <v>46239</v>
      </c>
      <c r="G66" s="9">
        <f t="shared" si="15"/>
        <v>46240</v>
      </c>
      <c r="H66" s="9">
        <f t="shared" si="15"/>
        <v>46241</v>
      </c>
      <c r="I66" s="9">
        <f t="shared" si="15"/>
        <v>46242</v>
      </c>
      <c r="J66" s="9">
        <f t="shared" si="15"/>
        <v>46243</v>
      </c>
      <c r="K66" s="9">
        <f t="shared" si="15"/>
        <v>46244</v>
      </c>
      <c r="L66" s="9">
        <f t="shared" si="15"/>
        <v>46245</v>
      </c>
      <c r="M66" s="9">
        <f t="shared" si="15"/>
        <v>46246</v>
      </c>
      <c r="N66" s="9">
        <f t="shared" si="15"/>
        <v>46247</v>
      </c>
      <c r="O66" s="9">
        <f t="shared" si="15"/>
        <v>46248</v>
      </c>
      <c r="P66" s="9">
        <f t="shared" si="15"/>
        <v>46249</v>
      </c>
      <c r="Q66" s="9">
        <f t="shared" si="15"/>
        <v>46250</v>
      </c>
      <c r="R66" s="9">
        <f t="shared" si="15"/>
        <v>46251</v>
      </c>
      <c r="S66" s="9">
        <f t="shared" si="15"/>
        <v>46252</v>
      </c>
      <c r="T66" s="9">
        <f t="shared" si="15"/>
        <v>46253</v>
      </c>
      <c r="U66" s="9">
        <f t="shared" si="15"/>
        <v>46254</v>
      </c>
      <c r="V66" s="9">
        <f t="shared" si="15"/>
        <v>46255</v>
      </c>
      <c r="W66" s="9">
        <f t="shared" si="15"/>
        <v>46256</v>
      </c>
      <c r="X66" s="9">
        <f t="shared" si="15"/>
        <v>46257</v>
      </c>
      <c r="Y66" s="9">
        <f t="shared" si="15"/>
        <v>46258</v>
      </c>
      <c r="Z66" s="9">
        <f t="shared" si="15"/>
        <v>46259</v>
      </c>
      <c r="AA66" s="9">
        <f t="shared" si="15"/>
        <v>46260</v>
      </c>
      <c r="AB66" s="9">
        <f t="shared" si="15"/>
        <v>46261</v>
      </c>
      <c r="AC66" s="9">
        <f t="shared" si="15"/>
        <v>46262</v>
      </c>
      <c r="AD66" s="9">
        <f t="shared" si="15"/>
        <v>46263</v>
      </c>
      <c r="AE66" s="9">
        <f t="shared" si="15"/>
        <v>46264</v>
      </c>
      <c r="AF66" s="9">
        <f t="shared" si="15"/>
        <v>46265</v>
      </c>
      <c r="AG66" s="1"/>
      <c r="AH66" s="7"/>
    </row>
    <row r="67" spans="1:34">
      <c r="A67" s="1"/>
      <c r="B67" s="13" t="str">
        <f t="shared" ref="B67:AF67" si="16">TEXT(B66,"ddd")</f>
        <v>Sat</v>
      </c>
      <c r="C67" s="13" t="str">
        <f t="shared" si="16"/>
        <v>Sun</v>
      </c>
      <c r="D67" s="13" t="str">
        <f t="shared" si="16"/>
        <v>Mon</v>
      </c>
      <c r="E67" s="13" t="str">
        <f t="shared" si="16"/>
        <v>Tue</v>
      </c>
      <c r="F67" s="13" t="str">
        <f t="shared" si="16"/>
        <v>Wed</v>
      </c>
      <c r="G67" s="13" t="str">
        <f t="shared" si="16"/>
        <v>Thu</v>
      </c>
      <c r="H67" s="13" t="str">
        <f t="shared" si="16"/>
        <v>Fri</v>
      </c>
      <c r="I67" s="13" t="str">
        <f t="shared" si="16"/>
        <v>Sat</v>
      </c>
      <c r="J67" s="13" t="str">
        <f t="shared" si="16"/>
        <v>Sun</v>
      </c>
      <c r="K67" s="13" t="str">
        <f t="shared" si="16"/>
        <v>Mon</v>
      </c>
      <c r="L67" s="13" t="str">
        <f t="shared" si="16"/>
        <v>Tue</v>
      </c>
      <c r="M67" s="13" t="str">
        <f t="shared" si="16"/>
        <v>Wed</v>
      </c>
      <c r="N67" s="13" t="str">
        <f t="shared" si="16"/>
        <v>Thu</v>
      </c>
      <c r="O67" s="13" t="str">
        <f t="shared" si="16"/>
        <v>Fri</v>
      </c>
      <c r="P67" s="13" t="str">
        <f t="shared" si="16"/>
        <v>Sat</v>
      </c>
      <c r="Q67" s="13" t="str">
        <f t="shared" si="16"/>
        <v>Sun</v>
      </c>
      <c r="R67" s="13" t="str">
        <f t="shared" si="16"/>
        <v>Mon</v>
      </c>
      <c r="S67" s="13" t="str">
        <f t="shared" si="16"/>
        <v>Tue</v>
      </c>
      <c r="T67" s="13" t="str">
        <f t="shared" si="16"/>
        <v>Wed</v>
      </c>
      <c r="U67" s="13" t="str">
        <f t="shared" si="16"/>
        <v>Thu</v>
      </c>
      <c r="V67" s="13" t="str">
        <f t="shared" si="16"/>
        <v>Fri</v>
      </c>
      <c r="W67" s="13" t="str">
        <f t="shared" si="16"/>
        <v>Sat</v>
      </c>
      <c r="X67" s="13" t="str">
        <f t="shared" si="16"/>
        <v>Sun</v>
      </c>
      <c r="Y67" s="13" t="str">
        <f t="shared" si="16"/>
        <v>Mon</v>
      </c>
      <c r="Z67" s="13" t="str">
        <f t="shared" si="16"/>
        <v>Tue</v>
      </c>
      <c r="AA67" s="13" t="str">
        <f t="shared" si="16"/>
        <v>Wed</v>
      </c>
      <c r="AB67" s="13" t="str">
        <f t="shared" si="16"/>
        <v>Thu</v>
      </c>
      <c r="AC67" s="13" t="str">
        <f t="shared" si="16"/>
        <v>Fri</v>
      </c>
      <c r="AD67" s="13" t="str">
        <f t="shared" si="16"/>
        <v>Sat</v>
      </c>
      <c r="AE67" s="13" t="str">
        <f t="shared" si="16"/>
        <v>Sun</v>
      </c>
      <c r="AF67" s="13" t="str">
        <f t="shared" si="16"/>
        <v>Mon</v>
      </c>
      <c r="AG67" s="1"/>
    </row>
    <row r="68" spans="1:34">
      <c r="A68" s="1"/>
      <c r="B68" s="9" t="s">
        <v>24</v>
      </c>
      <c r="C68" s="9" t="s">
        <v>24</v>
      </c>
      <c r="D68" s="9" t="s">
        <v>24</v>
      </c>
      <c r="E68" s="9" t="s">
        <v>24</v>
      </c>
      <c r="F68" s="9" t="s">
        <v>24</v>
      </c>
      <c r="G68" s="9" t="s">
        <v>24</v>
      </c>
      <c r="H68" s="9" t="s">
        <v>24</v>
      </c>
      <c r="I68" s="9" t="s">
        <v>24</v>
      </c>
      <c r="J68" s="9" t="s">
        <v>24</v>
      </c>
      <c r="K68" s="9" t="s">
        <v>22</v>
      </c>
      <c r="L68" s="9" t="s">
        <v>22</v>
      </c>
      <c r="M68" s="9" t="s">
        <v>22</v>
      </c>
      <c r="N68" s="9" t="s">
        <v>22</v>
      </c>
      <c r="O68" s="9" t="s">
        <v>22</v>
      </c>
      <c r="P68" s="9" t="s">
        <v>22</v>
      </c>
      <c r="Q68" s="9" t="s">
        <v>22</v>
      </c>
      <c r="R68" s="9" t="s">
        <v>24</v>
      </c>
      <c r="S68" s="9" t="s">
        <v>24</v>
      </c>
      <c r="T68" s="9" t="s">
        <v>24</v>
      </c>
      <c r="U68" s="9" t="s">
        <v>24</v>
      </c>
      <c r="V68" s="9" t="s">
        <v>24</v>
      </c>
      <c r="W68" s="9" t="s">
        <v>24</v>
      </c>
      <c r="X68" s="9" t="s">
        <v>24</v>
      </c>
      <c r="Y68" s="9" t="s">
        <v>22</v>
      </c>
      <c r="Z68" s="9" t="s">
        <v>22</v>
      </c>
      <c r="AA68" s="9" t="s">
        <v>22</v>
      </c>
      <c r="AB68" s="9" t="s">
        <v>22</v>
      </c>
      <c r="AC68" s="9" t="s">
        <v>22</v>
      </c>
      <c r="AD68" s="9" t="s">
        <v>22</v>
      </c>
      <c r="AE68" s="9" t="s">
        <v>22</v>
      </c>
      <c r="AF68" s="9" t="s">
        <v>22</v>
      </c>
      <c r="AG68" s="1"/>
      <c r="AH68" s="7"/>
    </row>
    <row r="69" spans="1:34">
      <c r="A69" s="1"/>
      <c r="B69" s="9" t="s">
        <v>25</v>
      </c>
      <c r="C69" s="9" t="s">
        <v>25</v>
      </c>
      <c r="D69" s="9" t="s">
        <v>23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25</v>
      </c>
      <c r="L69" s="9" t="s">
        <v>25</v>
      </c>
      <c r="M69" s="9" t="s">
        <v>25</v>
      </c>
      <c r="N69" s="9" t="s">
        <v>25</v>
      </c>
      <c r="O69" s="9" t="s">
        <v>25</v>
      </c>
      <c r="P69" s="9" t="s">
        <v>25</v>
      </c>
      <c r="Q69" s="9" t="s">
        <v>25</v>
      </c>
      <c r="R69" s="9" t="s">
        <v>23</v>
      </c>
      <c r="S69" s="9" t="s">
        <v>23</v>
      </c>
      <c r="T69" s="9" t="s">
        <v>23</v>
      </c>
      <c r="U69" s="9" t="s">
        <v>23</v>
      </c>
      <c r="V69" s="9" t="s">
        <v>26</v>
      </c>
      <c r="W69" s="9" t="s">
        <v>26</v>
      </c>
      <c r="X69" s="9" t="s">
        <v>26</v>
      </c>
      <c r="Y69" s="9" t="s">
        <v>25</v>
      </c>
      <c r="Z69" s="9" t="s">
        <v>25</v>
      </c>
      <c r="AA69" s="9" t="s">
        <v>25</v>
      </c>
      <c r="AB69" s="9" t="s">
        <v>25</v>
      </c>
      <c r="AC69" s="9" t="s">
        <v>25</v>
      </c>
      <c r="AD69" s="9" t="s">
        <v>25</v>
      </c>
      <c r="AE69" s="9" t="s">
        <v>25</v>
      </c>
      <c r="AF69" s="9" t="s">
        <v>23</v>
      </c>
      <c r="AG69" s="1"/>
    </row>
    <row r="70" spans="1:34">
      <c r="A70" s="1"/>
      <c r="B70" s="9" t="s">
        <v>26</v>
      </c>
      <c r="C70" s="9" t="s">
        <v>26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26</v>
      </c>
      <c r="L70" s="9" t="s">
        <v>26</v>
      </c>
      <c r="M70" s="9" t="s">
        <v>26</v>
      </c>
      <c r="N70" s="9" t="s">
        <v>26</v>
      </c>
      <c r="O70" s="9" t="s">
        <v>23</v>
      </c>
      <c r="P70" s="9" t="s">
        <v>23</v>
      </c>
      <c r="Q70" s="9" t="s">
        <v>23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26</v>
      </c>
      <c r="Z70" s="9" t="s">
        <v>26</v>
      </c>
      <c r="AA70" s="9" t="s">
        <v>26</v>
      </c>
      <c r="AB70" s="9" t="s">
        <v>26</v>
      </c>
      <c r="AC70" s="9" t="s">
        <v>26</v>
      </c>
      <c r="AD70" s="9" t="s">
        <v>26</v>
      </c>
      <c r="AE70" s="9" t="s">
        <v>26</v>
      </c>
      <c r="AF70" s="9" t="s">
        <v>27</v>
      </c>
      <c r="AG70" s="1"/>
    </row>
    <row r="71" spans="1:34">
      <c r="A71" s="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"/>
    </row>
    <row r="72" spans="1:34">
      <c r="A72" s="1"/>
      <c r="B72" s="48" t="s">
        <v>22</v>
      </c>
      <c r="C72" s="48" t="s">
        <v>22</v>
      </c>
      <c r="D72" s="48" t="s">
        <v>22</v>
      </c>
      <c r="E72" s="48" t="s">
        <v>22</v>
      </c>
      <c r="F72" s="48" t="s">
        <v>22</v>
      </c>
      <c r="G72" s="48" t="s">
        <v>22</v>
      </c>
      <c r="H72" s="48" t="s">
        <v>22</v>
      </c>
      <c r="I72" s="48" t="s">
        <v>22</v>
      </c>
      <c r="J72" s="48" t="s">
        <v>22</v>
      </c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 t="s">
        <v>24</v>
      </c>
      <c r="Z72" s="48" t="s">
        <v>24</v>
      </c>
      <c r="AA72" s="48" t="s">
        <v>24</v>
      </c>
      <c r="AB72" s="48" t="s">
        <v>24</v>
      </c>
      <c r="AC72" s="48" t="s">
        <v>24</v>
      </c>
      <c r="AD72" s="48" t="s">
        <v>24</v>
      </c>
      <c r="AE72" s="48" t="s">
        <v>24</v>
      </c>
      <c r="AF72" s="48" t="s">
        <v>24</v>
      </c>
      <c r="AG72" s="1"/>
    </row>
    <row r="73" spans="1:34">
      <c r="A73" s="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"/>
    </row>
    <row r="75" spans="1:34">
      <c r="A75" s="1"/>
      <c r="B75" s="9">
        <f>DATE($B$1, 9, COLUMN()-1)</f>
        <v>46266</v>
      </c>
      <c r="C75" s="9">
        <f t="shared" ref="C75:AE75" si="17">DATE($B$1, 9, COLUMN()-1)</f>
        <v>46267</v>
      </c>
      <c r="D75" s="9">
        <f t="shared" si="17"/>
        <v>46268</v>
      </c>
      <c r="E75" s="9">
        <f t="shared" si="17"/>
        <v>46269</v>
      </c>
      <c r="F75" s="9">
        <f t="shared" si="17"/>
        <v>46270</v>
      </c>
      <c r="G75" s="9">
        <f t="shared" si="17"/>
        <v>46271</v>
      </c>
      <c r="H75" s="9">
        <f t="shared" si="17"/>
        <v>46272</v>
      </c>
      <c r="I75" s="9">
        <f t="shared" si="17"/>
        <v>46273</v>
      </c>
      <c r="J75" s="9">
        <f t="shared" si="17"/>
        <v>46274</v>
      </c>
      <c r="K75" s="9">
        <f t="shared" si="17"/>
        <v>46275</v>
      </c>
      <c r="L75" s="9">
        <f t="shared" si="17"/>
        <v>46276</v>
      </c>
      <c r="M75" s="9">
        <f t="shared" si="17"/>
        <v>46277</v>
      </c>
      <c r="N75" s="9">
        <f t="shared" si="17"/>
        <v>46278</v>
      </c>
      <c r="O75" s="9">
        <f t="shared" si="17"/>
        <v>46279</v>
      </c>
      <c r="P75" s="9">
        <f t="shared" si="17"/>
        <v>46280</v>
      </c>
      <c r="Q75" s="9">
        <f t="shared" si="17"/>
        <v>46281</v>
      </c>
      <c r="R75" s="9">
        <f t="shared" si="17"/>
        <v>46282</v>
      </c>
      <c r="S75" s="9">
        <f t="shared" si="17"/>
        <v>46283</v>
      </c>
      <c r="T75" s="9">
        <f t="shared" si="17"/>
        <v>46284</v>
      </c>
      <c r="U75" s="9">
        <f t="shared" si="17"/>
        <v>46285</v>
      </c>
      <c r="V75" s="9">
        <f t="shared" si="17"/>
        <v>46286</v>
      </c>
      <c r="W75" s="9">
        <f t="shared" si="17"/>
        <v>46287</v>
      </c>
      <c r="X75" s="9">
        <f t="shared" si="17"/>
        <v>46288</v>
      </c>
      <c r="Y75" s="9">
        <f t="shared" si="17"/>
        <v>46289</v>
      </c>
      <c r="Z75" s="9">
        <f t="shared" si="17"/>
        <v>46290</v>
      </c>
      <c r="AA75" s="9">
        <f t="shared" si="17"/>
        <v>46291</v>
      </c>
      <c r="AB75" s="9">
        <f t="shared" si="17"/>
        <v>46292</v>
      </c>
      <c r="AC75" s="9">
        <f t="shared" si="17"/>
        <v>46293</v>
      </c>
      <c r="AD75" s="9">
        <f t="shared" si="17"/>
        <v>46294</v>
      </c>
      <c r="AE75" s="9">
        <f t="shared" si="17"/>
        <v>46295</v>
      </c>
      <c r="AF75" s="1"/>
      <c r="AG75" s="1"/>
      <c r="AH75" s="7" t="s">
        <v>46</v>
      </c>
    </row>
    <row r="76" spans="1:34">
      <c r="A76" s="1"/>
      <c r="B76" s="13" t="str">
        <f t="shared" ref="B76:AE76" si="18">TEXT(B75,"ddd")</f>
        <v>Tue</v>
      </c>
      <c r="C76" s="13" t="str">
        <f t="shared" si="18"/>
        <v>Wed</v>
      </c>
      <c r="D76" s="13" t="str">
        <f t="shared" si="18"/>
        <v>Thu</v>
      </c>
      <c r="E76" s="13" t="str">
        <f t="shared" si="18"/>
        <v>Fri</v>
      </c>
      <c r="F76" s="13" t="str">
        <f t="shared" si="18"/>
        <v>Sat</v>
      </c>
      <c r="G76" s="13" t="str">
        <f t="shared" si="18"/>
        <v>Sun</v>
      </c>
      <c r="H76" s="13" t="str">
        <f t="shared" si="18"/>
        <v>Mon</v>
      </c>
      <c r="I76" s="13" t="str">
        <f t="shared" si="18"/>
        <v>Tue</v>
      </c>
      <c r="J76" s="13" t="str">
        <f t="shared" si="18"/>
        <v>Wed</v>
      </c>
      <c r="K76" s="13" t="str">
        <f t="shared" si="18"/>
        <v>Thu</v>
      </c>
      <c r="L76" s="13" t="str">
        <f t="shared" si="18"/>
        <v>Fri</v>
      </c>
      <c r="M76" s="13" t="str">
        <f t="shared" si="18"/>
        <v>Sat</v>
      </c>
      <c r="N76" s="13" t="str">
        <f t="shared" si="18"/>
        <v>Sun</v>
      </c>
      <c r="O76" s="13" t="str">
        <f t="shared" si="18"/>
        <v>Mon</v>
      </c>
      <c r="P76" s="13" t="str">
        <f t="shared" si="18"/>
        <v>Tue</v>
      </c>
      <c r="Q76" s="13" t="str">
        <f t="shared" si="18"/>
        <v>Wed</v>
      </c>
      <c r="R76" s="13" t="str">
        <f t="shared" si="18"/>
        <v>Thu</v>
      </c>
      <c r="S76" s="13" t="str">
        <f t="shared" si="18"/>
        <v>Fri</v>
      </c>
      <c r="T76" s="13" t="str">
        <f t="shared" si="18"/>
        <v>Sat</v>
      </c>
      <c r="U76" s="13" t="str">
        <f t="shared" si="18"/>
        <v>Sun</v>
      </c>
      <c r="V76" s="13" t="str">
        <f t="shared" si="18"/>
        <v>Mon</v>
      </c>
      <c r="W76" s="13" t="str">
        <f t="shared" si="18"/>
        <v>Tue</v>
      </c>
      <c r="X76" s="13" t="str">
        <f t="shared" si="18"/>
        <v>Wed</v>
      </c>
      <c r="Y76" s="13" t="str">
        <f t="shared" si="18"/>
        <v>Thu</v>
      </c>
      <c r="Z76" s="13" t="str">
        <f t="shared" si="18"/>
        <v>Fri</v>
      </c>
      <c r="AA76" s="13" t="str">
        <f t="shared" si="18"/>
        <v>Sat</v>
      </c>
      <c r="AB76" s="13" t="str">
        <f t="shared" si="18"/>
        <v>Sun</v>
      </c>
      <c r="AC76" s="13" t="str">
        <f t="shared" si="18"/>
        <v>Mon</v>
      </c>
      <c r="AD76" s="13" t="str">
        <f t="shared" si="18"/>
        <v>Tue</v>
      </c>
      <c r="AE76" s="13" t="str">
        <f t="shared" si="18"/>
        <v>Wed</v>
      </c>
      <c r="AF76" s="14"/>
      <c r="AG76" s="1"/>
      <c r="AH76" s="16" t="s">
        <v>47</v>
      </c>
    </row>
    <row r="77" spans="1:34">
      <c r="A77" s="1"/>
      <c r="B77" s="9" t="s">
        <v>22</v>
      </c>
      <c r="C77" s="9" t="s">
        <v>22</v>
      </c>
      <c r="D77" s="9" t="s">
        <v>22</v>
      </c>
      <c r="E77" s="9" t="s">
        <v>22</v>
      </c>
      <c r="F77" s="9" t="s">
        <v>22</v>
      </c>
      <c r="G77" s="9" t="s">
        <v>22</v>
      </c>
      <c r="H77" s="9" t="s">
        <v>24</v>
      </c>
      <c r="I77" s="9" t="s">
        <v>24</v>
      </c>
      <c r="J77" s="9" t="s">
        <v>24</v>
      </c>
      <c r="K77" s="9" t="s">
        <v>24</v>
      </c>
      <c r="L77" s="9" t="s">
        <v>24</v>
      </c>
      <c r="M77" s="9" t="s">
        <v>24</v>
      </c>
      <c r="N77" s="9" t="s">
        <v>24</v>
      </c>
      <c r="O77" s="9" t="s">
        <v>24</v>
      </c>
      <c r="P77" s="9" t="s">
        <v>24</v>
      </c>
      <c r="Q77" s="9" t="s">
        <v>24</v>
      </c>
      <c r="R77" s="9" t="s">
        <v>24</v>
      </c>
      <c r="S77" s="9" t="s">
        <v>24</v>
      </c>
      <c r="T77" s="9" t="s">
        <v>24</v>
      </c>
      <c r="U77" s="9" t="s">
        <v>24</v>
      </c>
      <c r="V77" s="9" t="s">
        <v>22</v>
      </c>
      <c r="W77" s="9" t="s">
        <v>22</v>
      </c>
      <c r="X77" s="9" t="s">
        <v>22</v>
      </c>
      <c r="Y77" s="9" t="s">
        <v>22</v>
      </c>
      <c r="Z77" s="9" t="s">
        <v>22</v>
      </c>
      <c r="AA77" s="9" t="s">
        <v>22</v>
      </c>
      <c r="AB77" s="9" t="s">
        <v>22</v>
      </c>
      <c r="AC77" s="9" t="s">
        <v>22</v>
      </c>
      <c r="AD77" s="9" t="s">
        <v>22</v>
      </c>
      <c r="AE77" s="9" t="s">
        <v>22</v>
      </c>
      <c r="AF77" s="1"/>
      <c r="AG77" s="1"/>
      <c r="AH77" s="17" t="s">
        <v>48</v>
      </c>
    </row>
    <row r="78" spans="1:34">
      <c r="A78" s="1"/>
      <c r="B78" s="9" t="s">
        <v>23</v>
      </c>
      <c r="C78" s="9" t="s">
        <v>23</v>
      </c>
      <c r="D78" s="9" t="s">
        <v>23</v>
      </c>
      <c r="E78" s="9" t="s">
        <v>23</v>
      </c>
      <c r="F78" s="9" t="s">
        <v>25</v>
      </c>
      <c r="G78" s="9" t="s">
        <v>25</v>
      </c>
      <c r="H78" s="9" t="s">
        <v>25</v>
      </c>
      <c r="I78" s="9" t="s">
        <v>25</v>
      </c>
      <c r="J78" s="9" t="s">
        <v>25</v>
      </c>
      <c r="K78" s="9" t="s">
        <v>25</v>
      </c>
      <c r="L78" s="9" t="s">
        <v>25</v>
      </c>
      <c r="M78" s="9" t="s">
        <v>25</v>
      </c>
      <c r="N78" s="9" t="s">
        <v>25</v>
      </c>
      <c r="O78" s="9" t="s">
        <v>23</v>
      </c>
      <c r="P78" s="9" t="s">
        <v>23</v>
      </c>
      <c r="Q78" s="9" t="s">
        <v>23</v>
      </c>
      <c r="R78" s="9" t="s">
        <v>23</v>
      </c>
      <c r="S78" s="9" t="s">
        <v>23</v>
      </c>
      <c r="T78" s="9" t="s">
        <v>23</v>
      </c>
      <c r="U78" s="9" t="s">
        <v>23</v>
      </c>
      <c r="V78" s="9" t="s">
        <v>25</v>
      </c>
      <c r="W78" s="9" t="s">
        <v>25</v>
      </c>
      <c r="X78" s="9" t="s">
        <v>25</v>
      </c>
      <c r="Y78" s="9" t="s">
        <v>25</v>
      </c>
      <c r="Z78" s="9" t="s">
        <v>25</v>
      </c>
      <c r="AA78" s="9" t="s">
        <v>25</v>
      </c>
      <c r="AB78" s="9" t="s">
        <v>25</v>
      </c>
      <c r="AC78" s="9" t="s">
        <v>25</v>
      </c>
      <c r="AD78" s="9" t="s">
        <v>25</v>
      </c>
      <c r="AE78" s="9" t="s">
        <v>25</v>
      </c>
      <c r="AF78" s="1"/>
      <c r="AG78" s="1"/>
    </row>
    <row r="79" spans="1:34">
      <c r="A79" s="1"/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26</v>
      </c>
      <c r="I79" s="9" t="s">
        <v>26</v>
      </c>
      <c r="J79" s="9" t="s">
        <v>26</v>
      </c>
      <c r="K79" s="9" t="s">
        <v>26</v>
      </c>
      <c r="L79" s="9" t="s">
        <v>26</v>
      </c>
      <c r="M79" s="9" t="s">
        <v>23</v>
      </c>
      <c r="N79" s="9" t="s">
        <v>23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26</v>
      </c>
      <c r="AD79" s="9" t="s">
        <v>26</v>
      </c>
      <c r="AE79" s="9" t="s">
        <v>26</v>
      </c>
      <c r="AF79" s="1"/>
      <c r="AG79" s="1"/>
    </row>
    <row r="80" spans="1:34">
      <c r="A80" s="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"/>
      <c r="AG80" s="1"/>
    </row>
    <row r="81" spans="1:34">
      <c r="A81" s="1"/>
      <c r="B81" s="48" t="s">
        <v>24</v>
      </c>
      <c r="C81" s="48" t="s">
        <v>24</v>
      </c>
      <c r="D81" s="48" t="s">
        <v>24</v>
      </c>
      <c r="E81" s="48" t="s">
        <v>24</v>
      </c>
      <c r="F81" s="48" t="s">
        <v>24</v>
      </c>
      <c r="G81" s="48" t="s">
        <v>24</v>
      </c>
      <c r="H81" s="48"/>
      <c r="I81" s="48"/>
      <c r="J81" s="48"/>
      <c r="K81" s="48"/>
      <c r="L81" s="48"/>
      <c r="M81" s="48"/>
      <c r="N81" s="48"/>
      <c r="O81" s="48" t="s">
        <v>26</v>
      </c>
      <c r="P81" s="48" t="s">
        <v>26</v>
      </c>
      <c r="Q81" s="48" t="s">
        <v>26</v>
      </c>
      <c r="R81" s="48" t="s">
        <v>26</v>
      </c>
      <c r="S81" s="48" t="s">
        <v>26</v>
      </c>
      <c r="T81" s="48" t="s">
        <v>26</v>
      </c>
      <c r="U81" s="48" t="s">
        <v>26</v>
      </c>
      <c r="V81" s="48" t="s">
        <v>26</v>
      </c>
      <c r="W81" s="48" t="s">
        <v>26</v>
      </c>
      <c r="X81" s="48" t="s">
        <v>26</v>
      </c>
      <c r="Y81" s="48" t="s">
        <v>26</v>
      </c>
      <c r="Z81" s="48" t="s">
        <v>26</v>
      </c>
      <c r="AA81" s="48" t="s">
        <v>26</v>
      </c>
      <c r="AB81" s="48" t="s">
        <v>26</v>
      </c>
      <c r="AC81" s="48"/>
      <c r="AD81" s="48"/>
      <c r="AE81" s="48"/>
      <c r="AF81" s="1"/>
      <c r="AG81" s="1"/>
    </row>
    <row r="82" spans="1:34">
      <c r="A82" s="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"/>
      <c r="AG82" s="1"/>
    </row>
    <row r="84" spans="1:34">
      <c r="A84" s="1"/>
      <c r="B84" s="9">
        <f>DATE($B$1, 10, COLUMN()-1)</f>
        <v>46296</v>
      </c>
      <c r="C84" s="9">
        <f t="shared" ref="C84:AF84" si="19">DATE($B$1, 10, COLUMN()-1)</f>
        <v>46297</v>
      </c>
      <c r="D84" s="9">
        <f t="shared" si="19"/>
        <v>46298</v>
      </c>
      <c r="E84" s="9">
        <f t="shared" si="19"/>
        <v>46299</v>
      </c>
      <c r="F84" s="9">
        <f t="shared" si="19"/>
        <v>46300</v>
      </c>
      <c r="G84" s="9">
        <f t="shared" si="19"/>
        <v>46301</v>
      </c>
      <c r="H84" s="9">
        <f t="shared" si="19"/>
        <v>46302</v>
      </c>
      <c r="I84" s="9">
        <f t="shared" si="19"/>
        <v>46303</v>
      </c>
      <c r="J84" s="9">
        <f t="shared" si="19"/>
        <v>46304</v>
      </c>
      <c r="K84" s="9">
        <f t="shared" si="19"/>
        <v>46305</v>
      </c>
      <c r="L84" s="9">
        <f t="shared" si="19"/>
        <v>46306</v>
      </c>
      <c r="M84" s="9">
        <f t="shared" si="19"/>
        <v>46307</v>
      </c>
      <c r="N84" s="9">
        <f t="shared" si="19"/>
        <v>46308</v>
      </c>
      <c r="O84" s="9">
        <f t="shared" si="19"/>
        <v>46309</v>
      </c>
      <c r="P84" s="9">
        <f t="shared" si="19"/>
        <v>46310</v>
      </c>
      <c r="Q84" s="9">
        <f t="shared" si="19"/>
        <v>46311</v>
      </c>
      <c r="R84" s="9">
        <f t="shared" si="19"/>
        <v>46312</v>
      </c>
      <c r="S84" s="9">
        <f t="shared" si="19"/>
        <v>46313</v>
      </c>
      <c r="T84" s="9">
        <f t="shared" si="19"/>
        <v>46314</v>
      </c>
      <c r="U84" s="9">
        <f t="shared" si="19"/>
        <v>46315</v>
      </c>
      <c r="V84" s="9">
        <f t="shared" si="19"/>
        <v>46316</v>
      </c>
      <c r="W84" s="9">
        <f t="shared" si="19"/>
        <v>46317</v>
      </c>
      <c r="X84" s="9">
        <f t="shared" si="19"/>
        <v>46318</v>
      </c>
      <c r="Y84" s="9">
        <f t="shared" si="19"/>
        <v>46319</v>
      </c>
      <c r="Z84" s="9">
        <f t="shared" si="19"/>
        <v>46320</v>
      </c>
      <c r="AA84" s="9">
        <f t="shared" si="19"/>
        <v>46321</v>
      </c>
      <c r="AB84" s="9">
        <f t="shared" si="19"/>
        <v>46322</v>
      </c>
      <c r="AC84" s="9">
        <f t="shared" si="19"/>
        <v>46323</v>
      </c>
      <c r="AD84" s="9">
        <f t="shared" si="19"/>
        <v>46324</v>
      </c>
      <c r="AE84" s="9">
        <f t="shared" si="19"/>
        <v>46325</v>
      </c>
      <c r="AF84" s="9">
        <f t="shared" si="19"/>
        <v>46326</v>
      </c>
      <c r="AG84" s="1"/>
    </row>
    <row r="85" spans="1:34">
      <c r="A85" s="1"/>
      <c r="B85" s="13" t="str">
        <f t="shared" ref="B85:AF85" si="20">TEXT(B84,"ddd")</f>
        <v>Thu</v>
      </c>
      <c r="C85" s="13" t="str">
        <f t="shared" si="20"/>
        <v>Fri</v>
      </c>
      <c r="D85" s="13" t="str">
        <f t="shared" si="20"/>
        <v>Sat</v>
      </c>
      <c r="E85" s="13" t="str">
        <f t="shared" si="20"/>
        <v>Sun</v>
      </c>
      <c r="F85" s="13" t="str">
        <f t="shared" si="20"/>
        <v>Mon</v>
      </c>
      <c r="G85" s="13" t="str">
        <f t="shared" si="20"/>
        <v>Tue</v>
      </c>
      <c r="H85" s="13" t="str">
        <f t="shared" si="20"/>
        <v>Wed</v>
      </c>
      <c r="I85" s="13" t="str">
        <f t="shared" si="20"/>
        <v>Thu</v>
      </c>
      <c r="J85" s="13" t="str">
        <f t="shared" si="20"/>
        <v>Fri</v>
      </c>
      <c r="K85" s="13" t="str">
        <f t="shared" si="20"/>
        <v>Sat</v>
      </c>
      <c r="L85" s="13" t="str">
        <f t="shared" si="20"/>
        <v>Sun</v>
      </c>
      <c r="M85" s="13" t="str">
        <f t="shared" si="20"/>
        <v>Mon</v>
      </c>
      <c r="N85" s="13" t="str">
        <f t="shared" si="20"/>
        <v>Tue</v>
      </c>
      <c r="O85" s="13" t="str">
        <f t="shared" si="20"/>
        <v>Wed</v>
      </c>
      <c r="P85" s="13" t="str">
        <f t="shared" si="20"/>
        <v>Thu</v>
      </c>
      <c r="Q85" s="13" t="str">
        <f t="shared" si="20"/>
        <v>Fri</v>
      </c>
      <c r="R85" s="13" t="str">
        <f t="shared" si="20"/>
        <v>Sat</v>
      </c>
      <c r="S85" s="13" t="str">
        <f t="shared" si="20"/>
        <v>Sun</v>
      </c>
      <c r="T85" s="13" t="str">
        <f t="shared" si="20"/>
        <v>Mon</v>
      </c>
      <c r="U85" s="13" t="str">
        <f t="shared" si="20"/>
        <v>Tue</v>
      </c>
      <c r="V85" s="13" t="str">
        <f t="shared" si="20"/>
        <v>Wed</v>
      </c>
      <c r="W85" s="13" t="str">
        <f t="shared" si="20"/>
        <v>Thu</v>
      </c>
      <c r="X85" s="13" t="str">
        <f t="shared" si="20"/>
        <v>Fri</v>
      </c>
      <c r="Y85" s="13" t="str">
        <f t="shared" si="20"/>
        <v>Sat</v>
      </c>
      <c r="Z85" s="13" t="str">
        <f t="shared" si="20"/>
        <v>Sun</v>
      </c>
      <c r="AA85" s="13" t="str">
        <f t="shared" si="20"/>
        <v>Mon</v>
      </c>
      <c r="AB85" s="13" t="str">
        <f t="shared" si="20"/>
        <v>Tue</v>
      </c>
      <c r="AC85" s="13" t="str">
        <f t="shared" si="20"/>
        <v>Wed</v>
      </c>
      <c r="AD85" s="13" t="str">
        <f t="shared" si="20"/>
        <v>Thu</v>
      </c>
      <c r="AE85" s="13" t="str">
        <f t="shared" si="20"/>
        <v>Fri</v>
      </c>
      <c r="AF85" s="13" t="str">
        <f t="shared" si="20"/>
        <v>Sat</v>
      </c>
      <c r="AG85" s="1"/>
    </row>
    <row r="86" spans="1:34">
      <c r="A86" s="1"/>
      <c r="B86" s="9" t="s">
        <v>22</v>
      </c>
      <c r="C86" s="9" t="s">
        <v>22</v>
      </c>
      <c r="D86" s="9" t="s">
        <v>22</v>
      </c>
      <c r="E86" s="9" t="s">
        <v>22</v>
      </c>
      <c r="F86" s="9" t="s">
        <v>24</v>
      </c>
      <c r="G86" s="9" t="s">
        <v>24</v>
      </c>
      <c r="H86" s="9" t="s">
        <v>24</v>
      </c>
      <c r="I86" s="9" t="s">
        <v>24</v>
      </c>
      <c r="J86" s="9" t="s">
        <v>24</v>
      </c>
      <c r="K86" s="9" t="s">
        <v>24</v>
      </c>
      <c r="L86" s="9" t="s">
        <v>24</v>
      </c>
      <c r="M86" s="9" t="s">
        <v>22</v>
      </c>
      <c r="N86" s="9" t="s">
        <v>22</v>
      </c>
      <c r="O86" s="9" t="s">
        <v>22</v>
      </c>
      <c r="P86" s="9" t="s">
        <v>22</v>
      </c>
      <c r="Q86" s="9" t="s">
        <v>22</v>
      </c>
      <c r="R86" s="9" t="s">
        <v>22</v>
      </c>
      <c r="S86" s="9" t="s">
        <v>22</v>
      </c>
      <c r="T86" s="9" t="s">
        <v>22</v>
      </c>
      <c r="U86" s="9" t="s">
        <v>24</v>
      </c>
      <c r="V86" s="9" t="s">
        <v>24</v>
      </c>
      <c r="W86" s="9" t="s">
        <v>24</v>
      </c>
      <c r="X86" s="9" t="s">
        <v>24</v>
      </c>
      <c r="Y86" s="9" t="s">
        <v>24</v>
      </c>
      <c r="Z86" s="9" t="s">
        <v>24</v>
      </c>
      <c r="AA86" s="9" t="s">
        <v>22</v>
      </c>
      <c r="AB86" s="9" t="s">
        <v>22</v>
      </c>
      <c r="AC86" s="9" t="s">
        <v>22</v>
      </c>
      <c r="AD86" s="9" t="s">
        <v>22</v>
      </c>
      <c r="AE86" s="9" t="s">
        <v>22</v>
      </c>
      <c r="AF86" s="9" t="s">
        <v>22</v>
      </c>
      <c r="AG86" s="1"/>
    </row>
    <row r="87" spans="1:34">
      <c r="A87" s="1"/>
      <c r="B87" s="9" t="s">
        <v>25</v>
      </c>
      <c r="C87" s="9" t="s">
        <v>25</v>
      </c>
      <c r="D87" s="9" t="s">
        <v>25</v>
      </c>
      <c r="E87" s="9" t="s">
        <v>25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  <c r="L87" s="9" t="s">
        <v>23</v>
      </c>
      <c r="M87" s="9" t="s">
        <v>26</v>
      </c>
      <c r="N87" s="9" t="s">
        <v>26</v>
      </c>
      <c r="O87" s="9" t="s">
        <v>26</v>
      </c>
      <c r="P87" s="9" t="s">
        <v>26</v>
      </c>
      <c r="Q87" s="9" t="s">
        <v>26</v>
      </c>
      <c r="R87" s="9" t="s">
        <v>26</v>
      </c>
      <c r="S87" s="9" t="s">
        <v>26</v>
      </c>
      <c r="T87" s="9" t="s">
        <v>26</v>
      </c>
      <c r="U87" s="9" t="s">
        <v>26</v>
      </c>
      <c r="V87" s="9" t="s">
        <v>26</v>
      </c>
      <c r="W87" s="9" t="s">
        <v>26</v>
      </c>
      <c r="X87" s="9" t="s">
        <v>26</v>
      </c>
      <c r="Y87" s="9" t="s">
        <v>26</v>
      </c>
      <c r="Z87" s="9" t="s">
        <v>26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1"/>
    </row>
    <row r="88" spans="1:34">
      <c r="A88" s="1"/>
      <c r="B88" s="9" t="s">
        <v>26</v>
      </c>
      <c r="C88" s="9" t="s">
        <v>26</v>
      </c>
      <c r="D88" s="9" t="s">
        <v>26</v>
      </c>
      <c r="E88" s="9" t="s">
        <v>26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23</v>
      </c>
      <c r="V88" s="9" t="s">
        <v>23</v>
      </c>
      <c r="W88" s="9" t="s">
        <v>23</v>
      </c>
      <c r="X88" s="9" t="s">
        <v>23</v>
      </c>
      <c r="Y88" s="9" t="s">
        <v>23</v>
      </c>
      <c r="Z88" s="9" t="s">
        <v>23</v>
      </c>
      <c r="AA88" s="9" t="s">
        <v>25</v>
      </c>
      <c r="AB88" s="9" t="s">
        <v>25</v>
      </c>
      <c r="AC88" s="9" t="s">
        <v>25</v>
      </c>
      <c r="AD88" s="9" t="s">
        <v>25</v>
      </c>
      <c r="AE88" s="9" t="s">
        <v>25</v>
      </c>
      <c r="AF88" s="9" t="s">
        <v>25</v>
      </c>
      <c r="AG88" s="1"/>
    </row>
    <row r="89" spans="1:34">
      <c r="A89" s="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"/>
    </row>
    <row r="90" spans="1:34">
      <c r="A90" s="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 t="s">
        <v>25</v>
      </c>
      <c r="N90" s="9" t="s">
        <v>25</v>
      </c>
      <c r="O90" s="9" t="s">
        <v>25</v>
      </c>
      <c r="P90" s="9" t="s">
        <v>25</v>
      </c>
      <c r="Q90" s="9" t="s">
        <v>25</v>
      </c>
      <c r="R90" s="9" t="s">
        <v>25</v>
      </c>
      <c r="S90" s="9" t="s">
        <v>25</v>
      </c>
      <c r="T90" s="9" t="s">
        <v>44</v>
      </c>
      <c r="U90" s="9" t="s">
        <v>44</v>
      </c>
      <c r="V90" s="9" t="s">
        <v>44</v>
      </c>
      <c r="W90" s="9" t="s">
        <v>44</v>
      </c>
      <c r="X90" s="9" t="s">
        <v>44</v>
      </c>
      <c r="Y90" s="9" t="s">
        <v>44</v>
      </c>
      <c r="Z90" s="9" t="s">
        <v>44</v>
      </c>
      <c r="AA90" s="9" t="s">
        <v>44</v>
      </c>
      <c r="AB90" s="9" t="s">
        <v>44</v>
      </c>
      <c r="AC90" s="9" t="s">
        <v>44</v>
      </c>
      <c r="AD90" s="9" t="s">
        <v>44</v>
      </c>
      <c r="AE90" s="9" t="s">
        <v>44</v>
      </c>
      <c r="AF90" s="9" t="s">
        <v>44</v>
      </c>
      <c r="AG90" s="1"/>
    </row>
    <row r="91" spans="1:34">
      <c r="A91" s="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"/>
    </row>
    <row r="92" spans="1:3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4">
      <c r="A93" s="1"/>
      <c r="B93" s="9">
        <f>DATE($B$1, 11, COLUMN()-1)</f>
        <v>46327</v>
      </c>
      <c r="C93" s="9">
        <f t="shared" ref="C93:AE93" si="21">DATE($B$1, 11, COLUMN()-1)</f>
        <v>46328</v>
      </c>
      <c r="D93" s="9">
        <f t="shared" si="21"/>
        <v>46329</v>
      </c>
      <c r="E93" s="9">
        <f t="shared" si="21"/>
        <v>46330</v>
      </c>
      <c r="F93" s="9">
        <f t="shared" si="21"/>
        <v>46331</v>
      </c>
      <c r="G93" s="9">
        <f t="shared" si="21"/>
        <v>46332</v>
      </c>
      <c r="H93" s="9">
        <f t="shared" si="21"/>
        <v>46333</v>
      </c>
      <c r="I93" s="9">
        <f t="shared" si="21"/>
        <v>46334</v>
      </c>
      <c r="J93" s="9">
        <f t="shared" si="21"/>
        <v>46335</v>
      </c>
      <c r="K93" s="9">
        <f t="shared" si="21"/>
        <v>46336</v>
      </c>
      <c r="L93" s="9">
        <f t="shared" si="21"/>
        <v>46337</v>
      </c>
      <c r="M93" s="9">
        <f t="shared" si="21"/>
        <v>46338</v>
      </c>
      <c r="N93" s="9">
        <f t="shared" si="21"/>
        <v>46339</v>
      </c>
      <c r="O93" s="9">
        <f t="shared" si="21"/>
        <v>46340</v>
      </c>
      <c r="P93" s="9">
        <f t="shared" si="21"/>
        <v>46341</v>
      </c>
      <c r="Q93" s="9">
        <f t="shared" si="21"/>
        <v>46342</v>
      </c>
      <c r="R93" s="9">
        <f t="shared" si="21"/>
        <v>46343</v>
      </c>
      <c r="S93" s="9">
        <f t="shared" si="21"/>
        <v>46344</v>
      </c>
      <c r="T93" s="9">
        <f t="shared" si="21"/>
        <v>46345</v>
      </c>
      <c r="U93" s="9">
        <f t="shared" si="21"/>
        <v>46346</v>
      </c>
      <c r="V93" s="9">
        <f t="shared" si="21"/>
        <v>46347</v>
      </c>
      <c r="W93" s="9">
        <f t="shared" si="21"/>
        <v>46348</v>
      </c>
      <c r="X93" s="9">
        <f t="shared" si="21"/>
        <v>46349</v>
      </c>
      <c r="Y93" s="9">
        <f t="shared" si="21"/>
        <v>46350</v>
      </c>
      <c r="Z93" s="9">
        <f t="shared" si="21"/>
        <v>46351</v>
      </c>
      <c r="AA93" s="9">
        <f t="shared" si="21"/>
        <v>46352</v>
      </c>
      <c r="AB93" s="9">
        <f t="shared" si="21"/>
        <v>46353</v>
      </c>
      <c r="AC93" s="9">
        <f t="shared" si="21"/>
        <v>46354</v>
      </c>
      <c r="AD93" s="9">
        <f t="shared" si="21"/>
        <v>46355</v>
      </c>
      <c r="AE93" s="9">
        <f t="shared" si="21"/>
        <v>46356</v>
      </c>
      <c r="AF93" s="1"/>
      <c r="AG93" s="1"/>
      <c r="AH93" s="7"/>
    </row>
    <row r="94" spans="1:34">
      <c r="A94" s="1"/>
      <c r="B94" s="13" t="str">
        <f t="shared" ref="B94:AE94" si="22">TEXT(B93,"ddd")</f>
        <v>Sun</v>
      </c>
      <c r="C94" s="13" t="str">
        <f t="shared" si="22"/>
        <v>Mon</v>
      </c>
      <c r="D94" s="13" t="str">
        <f t="shared" si="22"/>
        <v>Tue</v>
      </c>
      <c r="E94" s="13" t="str">
        <f t="shared" si="22"/>
        <v>Wed</v>
      </c>
      <c r="F94" s="13" t="str">
        <f t="shared" si="22"/>
        <v>Thu</v>
      </c>
      <c r="G94" s="13" t="str">
        <f t="shared" si="22"/>
        <v>Fri</v>
      </c>
      <c r="H94" s="13" t="str">
        <f t="shared" si="22"/>
        <v>Sat</v>
      </c>
      <c r="I94" s="13" t="str">
        <f t="shared" si="22"/>
        <v>Sun</v>
      </c>
      <c r="J94" s="13" t="str">
        <f t="shared" si="22"/>
        <v>Mon</v>
      </c>
      <c r="K94" s="13" t="str">
        <f t="shared" si="22"/>
        <v>Tue</v>
      </c>
      <c r="L94" s="13" t="str">
        <f t="shared" si="22"/>
        <v>Wed</v>
      </c>
      <c r="M94" s="13" t="str">
        <f t="shared" si="22"/>
        <v>Thu</v>
      </c>
      <c r="N94" s="13" t="str">
        <f t="shared" si="22"/>
        <v>Fri</v>
      </c>
      <c r="O94" s="13" t="str">
        <f t="shared" si="22"/>
        <v>Sat</v>
      </c>
      <c r="P94" s="13" t="str">
        <f t="shared" si="22"/>
        <v>Sun</v>
      </c>
      <c r="Q94" s="13" t="str">
        <f t="shared" si="22"/>
        <v>Mon</v>
      </c>
      <c r="R94" s="13" t="str">
        <f t="shared" si="22"/>
        <v>Tue</v>
      </c>
      <c r="S94" s="13" t="str">
        <f t="shared" si="22"/>
        <v>Wed</v>
      </c>
      <c r="T94" s="13" t="str">
        <f t="shared" si="22"/>
        <v>Thu</v>
      </c>
      <c r="U94" s="13" t="str">
        <f t="shared" si="22"/>
        <v>Fri</v>
      </c>
      <c r="V94" s="13" t="str">
        <f t="shared" si="22"/>
        <v>Sat</v>
      </c>
      <c r="W94" s="13" t="str">
        <f t="shared" si="22"/>
        <v>Sun</v>
      </c>
      <c r="X94" s="13" t="str">
        <f t="shared" si="22"/>
        <v>Mon</v>
      </c>
      <c r="Y94" s="13" t="str">
        <f t="shared" si="22"/>
        <v>Tue</v>
      </c>
      <c r="Z94" s="13" t="str">
        <f t="shared" si="22"/>
        <v>Wed</v>
      </c>
      <c r="AA94" s="13" t="str">
        <f t="shared" si="22"/>
        <v>Thu</v>
      </c>
      <c r="AB94" s="13" t="str">
        <f t="shared" si="22"/>
        <v>Fri</v>
      </c>
      <c r="AC94" s="13" t="str">
        <f t="shared" si="22"/>
        <v>Sat</v>
      </c>
      <c r="AD94" s="13" t="str">
        <f t="shared" si="22"/>
        <v>Sun</v>
      </c>
      <c r="AE94" s="13" t="str">
        <f t="shared" si="22"/>
        <v>Mon</v>
      </c>
      <c r="AF94" s="15"/>
      <c r="AG94" s="1"/>
    </row>
    <row r="95" spans="1:34">
      <c r="A95" s="1"/>
      <c r="B95" s="9" t="s">
        <v>22</v>
      </c>
      <c r="C95" s="9" t="s">
        <v>24</v>
      </c>
      <c r="D95" s="9" t="s">
        <v>24</v>
      </c>
      <c r="E95" s="9" t="s">
        <v>24</v>
      </c>
      <c r="F95" s="9" t="s">
        <v>24</v>
      </c>
      <c r="G95" s="9" t="s">
        <v>24</v>
      </c>
      <c r="H95" s="9" t="s">
        <v>24</v>
      </c>
      <c r="I95" s="9" t="s">
        <v>24</v>
      </c>
      <c r="J95" s="9" t="s">
        <v>22</v>
      </c>
      <c r="K95" s="9" t="s">
        <v>22</v>
      </c>
      <c r="L95" s="9" t="s">
        <v>22</v>
      </c>
      <c r="M95" s="9" t="s">
        <v>22</v>
      </c>
      <c r="N95" s="9" t="s">
        <v>22</v>
      </c>
      <c r="O95" s="9" t="s">
        <v>22</v>
      </c>
      <c r="P95" s="9" t="s">
        <v>22</v>
      </c>
      <c r="Q95" s="9" t="s">
        <v>24</v>
      </c>
      <c r="R95" s="9" t="s">
        <v>24</v>
      </c>
      <c r="S95" s="9" t="s">
        <v>24</v>
      </c>
      <c r="T95" s="9" t="s">
        <v>24</v>
      </c>
      <c r="U95" s="9" t="s">
        <v>24</v>
      </c>
      <c r="V95" s="9" t="s">
        <v>24</v>
      </c>
      <c r="W95" s="9" t="s">
        <v>24</v>
      </c>
      <c r="X95" s="9" t="s">
        <v>22</v>
      </c>
      <c r="Y95" s="9" t="s">
        <v>22</v>
      </c>
      <c r="Z95" s="9" t="s">
        <v>22</v>
      </c>
      <c r="AA95" s="9" t="s">
        <v>22</v>
      </c>
      <c r="AB95" s="9" t="s">
        <v>22</v>
      </c>
      <c r="AC95" s="9" t="s">
        <v>22</v>
      </c>
      <c r="AD95" s="9" t="s">
        <v>22</v>
      </c>
      <c r="AE95" s="9" t="s">
        <v>22</v>
      </c>
      <c r="AF95" s="1"/>
      <c r="AG95" s="1"/>
      <c r="AH95" s="7"/>
    </row>
    <row r="96" spans="1:34">
      <c r="A96" s="1"/>
      <c r="B96" s="9" t="s">
        <v>27</v>
      </c>
      <c r="C96" s="9" t="s">
        <v>23</v>
      </c>
      <c r="D96" s="9" t="s">
        <v>23</v>
      </c>
      <c r="E96" s="9" t="s">
        <v>23</v>
      </c>
      <c r="F96" s="9" t="s">
        <v>23</v>
      </c>
      <c r="G96" s="9" t="s">
        <v>23</v>
      </c>
      <c r="H96" s="9" t="s">
        <v>23</v>
      </c>
      <c r="I96" s="9" t="s">
        <v>23</v>
      </c>
      <c r="J96" s="9" t="s">
        <v>27</v>
      </c>
      <c r="K96" s="9" t="s">
        <v>27</v>
      </c>
      <c r="L96" s="9" t="s">
        <v>27</v>
      </c>
      <c r="M96" s="9" t="s">
        <v>27</v>
      </c>
      <c r="N96" s="9" t="s">
        <v>27</v>
      </c>
      <c r="O96" s="9" t="s">
        <v>27</v>
      </c>
      <c r="P96" s="9" t="s">
        <v>27</v>
      </c>
      <c r="Q96" s="9" t="s">
        <v>23</v>
      </c>
      <c r="R96" s="9" t="s">
        <v>23</v>
      </c>
      <c r="S96" s="9" t="s">
        <v>23</v>
      </c>
      <c r="T96" s="9" t="s">
        <v>23</v>
      </c>
      <c r="U96" s="9" t="s">
        <v>23</v>
      </c>
      <c r="V96" s="9" t="s">
        <v>23</v>
      </c>
      <c r="W96" s="9" t="s">
        <v>23</v>
      </c>
      <c r="X96" s="9" t="s">
        <v>24</v>
      </c>
      <c r="Y96" s="9" t="s">
        <v>24</v>
      </c>
      <c r="Z96" s="9" t="s">
        <v>24</v>
      </c>
      <c r="AA96" s="9" t="s">
        <v>24</v>
      </c>
      <c r="AB96" s="9" t="s">
        <v>24</v>
      </c>
      <c r="AC96" s="9" t="s">
        <v>24</v>
      </c>
      <c r="AD96" s="9" t="s">
        <v>24</v>
      </c>
      <c r="AE96" s="9" t="s">
        <v>23</v>
      </c>
      <c r="AF96" s="1"/>
      <c r="AG96" s="1"/>
    </row>
    <row r="97" spans="1:33">
      <c r="A97" s="1"/>
      <c r="B97" s="9" t="s">
        <v>25</v>
      </c>
      <c r="C97" s="9" t="s">
        <v>26</v>
      </c>
      <c r="D97" s="9" t="s">
        <v>26</v>
      </c>
      <c r="E97" s="9" t="s">
        <v>26</v>
      </c>
      <c r="F97" s="9" t="s">
        <v>26</v>
      </c>
      <c r="G97" s="9" t="s">
        <v>26</v>
      </c>
      <c r="H97" s="9" t="s">
        <v>26</v>
      </c>
      <c r="I97" s="9" t="s">
        <v>26</v>
      </c>
      <c r="J97" s="9" t="s">
        <v>25</v>
      </c>
      <c r="K97" s="9" t="s">
        <v>25</v>
      </c>
      <c r="L97" s="9" t="s">
        <v>25</v>
      </c>
      <c r="M97" s="9" t="s">
        <v>25</v>
      </c>
      <c r="N97" s="9" t="s">
        <v>25</v>
      </c>
      <c r="O97" s="9" t="s">
        <v>25</v>
      </c>
      <c r="P97" s="9" t="s">
        <v>25</v>
      </c>
      <c r="Q97" s="9" t="s">
        <v>26</v>
      </c>
      <c r="R97" s="9" t="s">
        <v>26</v>
      </c>
      <c r="S97" s="9" t="s">
        <v>26</v>
      </c>
      <c r="T97" s="9" t="s">
        <v>26</v>
      </c>
      <c r="U97" s="9" t="s">
        <v>26</v>
      </c>
      <c r="V97" s="9" t="s">
        <v>26</v>
      </c>
      <c r="W97" s="9" t="s">
        <v>26</v>
      </c>
      <c r="X97" s="9" t="s">
        <v>25</v>
      </c>
      <c r="Y97" s="9" t="s">
        <v>25</v>
      </c>
      <c r="Z97" s="9" t="s">
        <v>25</v>
      </c>
      <c r="AA97" s="9" t="s">
        <v>25</v>
      </c>
      <c r="AB97" s="9" t="s">
        <v>25</v>
      </c>
      <c r="AC97" s="9" t="s">
        <v>25</v>
      </c>
      <c r="AD97" s="9" t="s">
        <v>25</v>
      </c>
      <c r="AE97" s="9" t="s">
        <v>26</v>
      </c>
      <c r="AF97" s="1"/>
      <c r="AG97" s="1"/>
    </row>
    <row r="98" spans="1:33">
      <c r="A98" s="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"/>
      <c r="AG98" s="1"/>
    </row>
    <row r="99" spans="1:33">
      <c r="A99" s="1"/>
      <c r="B99" s="9" t="s">
        <v>44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"/>
      <c r="AG99" s="1"/>
    </row>
    <row r="100" spans="1:33">
      <c r="A100" s="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"/>
      <c r="AG100" s="1"/>
    </row>
    <row r="102" spans="1:33">
      <c r="A102" s="1"/>
      <c r="B102" s="9">
        <f>DATE($B$1,12,COLUMN()-1)</f>
        <v>46357</v>
      </c>
      <c r="C102" s="9">
        <f t="shared" ref="C102:AF102" si="23">DATE($B$1,12,COLUMN()-1)</f>
        <v>46358</v>
      </c>
      <c r="D102" s="9">
        <f t="shared" si="23"/>
        <v>46359</v>
      </c>
      <c r="E102" s="9">
        <f t="shared" si="23"/>
        <v>46360</v>
      </c>
      <c r="F102" s="9">
        <f t="shared" si="23"/>
        <v>46361</v>
      </c>
      <c r="G102" s="9">
        <f t="shared" si="23"/>
        <v>46362</v>
      </c>
      <c r="H102" s="9">
        <f t="shared" si="23"/>
        <v>46363</v>
      </c>
      <c r="I102" s="9">
        <f t="shared" si="23"/>
        <v>46364</v>
      </c>
      <c r="J102" s="9">
        <f t="shared" si="23"/>
        <v>46365</v>
      </c>
      <c r="K102" s="9">
        <f t="shared" si="23"/>
        <v>46366</v>
      </c>
      <c r="L102" s="9">
        <f t="shared" si="23"/>
        <v>46367</v>
      </c>
      <c r="M102" s="9">
        <f t="shared" si="23"/>
        <v>46368</v>
      </c>
      <c r="N102" s="9">
        <f t="shared" si="23"/>
        <v>46369</v>
      </c>
      <c r="O102" s="9">
        <f t="shared" si="23"/>
        <v>46370</v>
      </c>
      <c r="P102" s="9">
        <f t="shared" si="23"/>
        <v>46371</v>
      </c>
      <c r="Q102" s="9">
        <f t="shared" si="23"/>
        <v>46372</v>
      </c>
      <c r="R102" s="9">
        <f t="shared" si="23"/>
        <v>46373</v>
      </c>
      <c r="S102" s="9">
        <f t="shared" si="23"/>
        <v>46374</v>
      </c>
      <c r="T102" s="9">
        <f t="shared" si="23"/>
        <v>46375</v>
      </c>
      <c r="U102" s="9">
        <f t="shared" si="23"/>
        <v>46376</v>
      </c>
      <c r="V102" s="9">
        <f t="shared" si="23"/>
        <v>46377</v>
      </c>
      <c r="W102" s="9">
        <f t="shared" si="23"/>
        <v>46378</v>
      </c>
      <c r="X102" s="9">
        <f t="shared" si="23"/>
        <v>46379</v>
      </c>
      <c r="Y102" s="9">
        <f t="shared" si="23"/>
        <v>46380</v>
      </c>
      <c r="Z102" s="9">
        <f t="shared" si="23"/>
        <v>46381</v>
      </c>
      <c r="AA102" s="9">
        <f t="shared" si="23"/>
        <v>46382</v>
      </c>
      <c r="AB102" s="9">
        <f t="shared" si="23"/>
        <v>46383</v>
      </c>
      <c r="AC102" s="9">
        <f t="shared" si="23"/>
        <v>46384</v>
      </c>
      <c r="AD102" s="9">
        <f t="shared" si="23"/>
        <v>46385</v>
      </c>
      <c r="AE102" s="9">
        <f t="shared" si="23"/>
        <v>46386</v>
      </c>
      <c r="AF102" s="9">
        <f t="shared" si="23"/>
        <v>46387</v>
      </c>
      <c r="AG102" s="1"/>
    </row>
    <row r="103" spans="1:33">
      <c r="A103" s="1"/>
      <c r="B103" s="13" t="str">
        <f t="shared" ref="B103:AF103" si="24">TEXT(B102,"ddd")</f>
        <v>Tue</v>
      </c>
      <c r="C103" s="13" t="str">
        <f t="shared" si="24"/>
        <v>Wed</v>
      </c>
      <c r="D103" s="13" t="str">
        <f t="shared" si="24"/>
        <v>Thu</v>
      </c>
      <c r="E103" s="13" t="str">
        <f t="shared" si="24"/>
        <v>Fri</v>
      </c>
      <c r="F103" s="13" t="str">
        <f t="shared" si="24"/>
        <v>Sat</v>
      </c>
      <c r="G103" s="13" t="str">
        <f t="shared" si="24"/>
        <v>Sun</v>
      </c>
      <c r="H103" s="13" t="str">
        <f t="shared" si="24"/>
        <v>Mon</v>
      </c>
      <c r="I103" s="13" t="str">
        <f t="shared" si="24"/>
        <v>Tue</v>
      </c>
      <c r="J103" s="13" t="str">
        <f t="shared" si="24"/>
        <v>Wed</v>
      </c>
      <c r="K103" s="13" t="str">
        <f t="shared" si="24"/>
        <v>Thu</v>
      </c>
      <c r="L103" s="13" t="str">
        <f t="shared" si="24"/>
        <v>Fri</v>
      </c>
      <c r="M103" s="13" t="str">
        <f t="shared" si="24"/>
        <v>Sat</v>
      </c>
      <c r="N103" s="13" t="str">
        <f t="shared" si="24"/>
        <v>Sun</v>
      </c>
      <c r="O103" s="13" t="str">
        <f t="shared" si="24"/>
        <v>Mon</v>
      </c>
      <c r="P103" s="13" t="str">
        <f t="shared" si="24"/>
        <v>Tue</v>
      </c>
      <c r="Q103" s="13" t="str">
        <f t="shared" si="24"/>
        <v>Wed</v>
      </c>
      <c r="R103" s="13" t="str">
        <f t="shared" si="24"/>
        <v>Thu</v>
      </c>
      <c r="S103" s="13" t="str">
        <f t="shared" si="24"/>
        <v>Fri</v>
      </c>
      <c r="T103" s="13" t="str">
        <f t="shared" si="24"/>
        <v>Sat</v>
      </c>
      <c r="U103" s="13" t="str">
        <f t="shared" si="24"/>
        <v>Sun</v>
      </c>
      <c r="V103" s="13" t="str">
        <f t="shared" si="24"/>
        <v>Mon</v>
      </c>
      <c r="W103" s="13" t="str">
        <f t="shared" si="24"/>
        <v>Tue</v>
      </c>
      <c r="X103" s="13" t="str">
        <f t="shared" si="24"/>
        <v>Wed</v>
      </c>
      <c r="Y103" s="13" t="str">
        <f t="shared" si="24"/>
        <v>Thu</v>
      </c>
      <c r="Z103" s="13" t="str">
        <f t="shared" si="24"/>
        <v>Fri</v>
      </c>
      <c r="AA103" s="13" t="str">
        <f t="shared" si="24"/>
        <v>Sat</v>
      </c>
      <c r="AB103" s="13" t="str">
        <f t="shared" si="24"/>
        <v>Sun</v>
      </c>
      <c r="AC103" s="13" t="str">
        <f t="shared" si="24"/>
        <v>Mon</v>
      </c>
      <c r="AD103" s="13" t="str">
        <f t="shared" si="24"/>
        <v>Tue</v>
      </c>
      <c r="AE103" s="13" t="str">
        <f t="shared" si="24"/>
        <v>Wed</v>
      </c>
      <c r="AF103" s="13" t="str">
        <f t="shared" si="24"/>
        <v>Thu</v>
      </c>
      <c r="AG103" s="1"/>
    </row>
    <row r="104" spans="1:33">
      <c r="B104" s="9" t="s">
        <v>22</v>
      </c>
      <c r="C104" s="9" t="s">
        <v>22</v>
      </c>
      <c r="D104" s="9" t="s">
        <v>22</v>
      </c>
      <c r="E104" s="9" t="s">
        <v>22</v>
      </c>
      <c r="F104" s="9" t="s">
        <v>22</v>
      </c>
      <c r="G104" s="9" t="s">
        <v>22</v>
      </c>
      <c r="H104" s="9" t="s">
        <v>24</v>
      </c>
      <c r="I104" s="9" t="s">
        <v>24</v>
      </c>
      <c r="J104" s="9" t="s">
        <v>24</v>
      </c>
      <c r="K104" s="9" t="s">
        <v>24</v>
      </c>
      <c r="L104" s="9" t="s">
        <v>24</v>
      </c>
      <c r="M104" s="9" t="s">
        <v>24</v>
      </c>
      <c r="N104" s="9" t="s">
        <v>24</v>
      </c>
      <c r="O104" s="9" t="s">
        <v>22</v>
      </c>
      <c r="P104" s="9" t="s">
        <v>22</v>
      </c>
      <c r="Q104" s="9" t="s">
        <v>22</v>
      </c>
      <c r="R104" s="9" t="s">
        <v>22</v>
      </c>
      <c r="S104" s="9" t="s">
        <v>22</v>
      </c>
      <c r="T104" s="9" t="s">
        <v>22</v>
      </c>
      <c r="U104" s="9" t="s">
        <v>22</v>
      </c>
      <c r="V104" s="9" t="s">
        <v>24</v>
      </c>
      <c r="W104" s="9" t="s">
        <v>24</v>
      </c>
      <c r="X104" s="9" t="s">
        <v>24</v>
      </c>
      <c r="Y104" s="9" t="s">
        <v>24</v>
      </c>
      <c r="Z104" s="9" t="s">
        <v>24</v>
      </c>
      <c r="AA104" s="9" t="s">
        <v>24</v>
      </c>
      <c r="AB104" s="9" t="s">
        <v>24</v>
      </c>
      <c r="AC104" s="9" t="s">
        <v>22</v>
      </c>
      <c r="AD104" s="9" t="s">
        <v>22</v>
      </c>
      <c r="AE104" s="9" t="s">
        <v>22</v>
      </c>
      <c r="AF104" s="9" t="s">
        <v>22</v>
      </c>
      <c r="AG104" s="1"/>
    </row>
    <row r="105" spans="1:33">
      <c r="B105" s="9" t="s">
        <v>23</v>
      </c>
      <c r="C105" s="9" t="s">
        <v>23</v>
      </c>
      <c r="D105" s="9" t="s">
        <v>23</v>
      </c>
      <c r="E105" s="9" t="s">
        <v>23</v>
      </c>
      <c r="F105" s="9" t="s">
        <v>23</v>
      </c>
      <c r="G105" s="9" t="s">
        <v>23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27</v>
      </c>
      <c r="M105" s="9" t="s">
        <v>27</v>
      </c>
      <c r="N105" s="9" t="s">
        <v>27</v>
      </c>
      <c r="O105" s="9" t="s">
        <v>27</v>
      </c>
      <c r="P105" s="9" t="s">
        <v>27</v>
      </c>
      <c r="Q105" s="9" t="s">
        <v>27</v>
      </c>
      <c r="R105" s="9" t="s">
        <v>27</v>
      </c>
      <c r="S105" s="9" t="s">
        <v>27</v>
      </c>
      <c r="T105" s="9" t="s">
        <v>27</v>
      </c>
      <c r="U105" s="9" t="s">
        <v>27</v>
      </c>
      <c r="V105" s="9" t="s">
        <v>23</v>
      </c>
      <c r="W105" s="9" t="s">
        <v>23</v>
      </c>
      <c r="X105" s="9" t="s">
        <v>23</v>
      </c>
      <c r="Y105" s="9" t="s">
        <v>23</v>
      </c>
      <c r="Z105" s="9" t="s">
        <v>23</v>
      </c>
      <c r="AA105" s="9" t="s">
        <v>23</v>
      </c>
      <c r="AB105" s="9" t="s">
        <v>23</v>
      </c>
      <c r="AC105" s="9" t="s">
        <v>25</v>
      </c>
      <c r="AD105" s="9" t="s">
        <v>25</v>
      </c>
      <c r="AE105" s="9" t="s">
        <v>25</v>
      </c>
      <c r="AF105" s="9" t="s">
        <v>25</v>
      </c>
    </row>
    <row r="106" spans="1:33">
      <c r="B106" s="9" t="s">
        <v>26</v>
      </c>
      <c r="C106" s="9" t="s">
        <v>26</v>
      </c>
      <c r="D106" s="9" t="s">
        <v>26</v>
      </c>
      <c r="E106" s="9" t="s">
        <v>26</v>
      </c>
      <c r="F106" s="9" t="s">
        <v>26</v>
      </c>
      <c r="G106" s="9" t="s">
        <v>26</v>
      </c>
      <c r="H106" s="9" t="s">
        <v>25</v>
      </c>
      <c r="I106" s="9" t="s">
        <v>25</v>
      </c>
      <c r="J106" s="9" t="s">
        <v>25</v>
      </c>
      <c r="K106" s="9" t="s">
        <v>25</v>
      </c>
      <c r="L106" s="9" t="s">
        <v>25</v>
      </c>
      <c r="M106" s="9" t="s">
        <v>25</v>
      </c>
      <c r="N106" s="9" t="s">
        <v>25</v>
      </c>
      <c r="O106" s="9" t="s">
        <v>25</v>
      </c>
      <c r="P106" s="9" t="s">
        <v>25</v>
      </c>
      <c r="Q106" s="9" t="s">
        <v>25</v>
      </c>
      <c r="R106" s="9" t="s">
        <v>25</v>
      </c>
      <c r="S106" s="9" t="s">
        <v>25</v>
      </c>
      <c r="T106" s="9" t="s">
        <v>25</v>
      </c>
      <c r="U106" s="9" t="s">
        <v>25</v>
      </c>
      <c r="V106" s="9" t="s">
        <v>26</v>
      </c>
      <c r="W106" s="9" t="s">
        <v>26</v>
      </c>
      <c r="X106" s="9" t="s">
        <v>26</v>
      </c>
      <c r="Y106" s="9" t="s">
        <v>26</v>
      </c>
      <c r="Z106" s="9" t="s">
        <v>26</v>
      </c>
      <c r="AA106" s="9" t="s">
        <v>26</v>
      </c>
      <c r="AB106" s="9" t="s">
        <v>26</v>
      </c>
      <c r="AC106" s="9" t="s">
        <v>24</v>
      </c>
      <c r="AD106" s="9" t="s">
        <v>24</v>
      </c>
      <c r="AE106" s="9" t="s">
        <v>24</v>
      </c>
      <c r="AF106" s="9" t="s">
        <v>24</v>
      </c>
    </row>
    <row r="107" spans="1:33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3">
      <c r="B108" s="9"/>
      <c r="C108" s="9"/>
      <c r="D108" s="9"/>
      <c r="E108" s="9"/>
      <c r="F108" s="9"/>
      <c r="G108" s="9"/>
      <c r="H108" s="9" t="s">
        <v>23</v>
      </c>
      <c r="I108" s="9" t="s">
        <v>23</v>
      </c>
      <c r="J108" s="9" t="s">
        <v>23</v>
      </c>
      <c r="K108" s="9" t="s">
        <v>23</v>
      </c>
      <c r="L108" s="9" t="s">
        <v>23</v>
      </c>
      <c r="M108" s="9" t="s">
        <v>23</v>
      </c>
      <c r="N108" s="9" t="s">
        <v>23</v>
      </c>
      <c r="O108" s="9" t="s">
        <v>23</v>
      </c>
      <c r="P108" s="9" t="s">
        <v>23</v>
      </c>
      <c r="Q108" s="9" t="s">
        <v>23</v>
      </c>
      <c r="R108" s="9" t="s">
        <v>23</v>
      </c>
      <c r="S108" s="9" t="s">
        <v>23</v>
      </c>
      <c r="T108" s="9" t="s">
        <v>23</v>
      </c>
      <c r="U108" s="9" t="s">
        <v>23</v>
      </c>
      <c r="V108" s="9" t="s">
        <v>27</v>
      </c>
      <c r="W108" s="9" t="s">
        <v>27</v>
      </c>
      <c r="X108" s="9" t="s">
        <v>27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27</v>
      </c>
      <c r="AD108" s="9" t="s">
        <v>27</v>
      </c>
      <c r="AE108" s="9" t="s">
        <v>27</v>
      </c>
      <c r="AF108" s="9" t="s">
        <v>27</v>
      </c>
    </row>
    <row r="109" spans="1:33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3"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33"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1:3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33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3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3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2:3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2:3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2:3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2:33"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2:3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2:3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2:3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2:3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2:3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2:3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2:3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2:33"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spans="2:3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2:3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2:3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2:3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2:3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2:3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2:3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2:33"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2:3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2:3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2:3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2:3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2:3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2:3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2:3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2:33"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2:3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2:3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2:3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2:3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2:3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2:3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2:3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2:33"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2:3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2:3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2:3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2:3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2:3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2:3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2:3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2:33"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2:3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2:3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2:3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2:3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2:34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2:34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2:34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2:34"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spans="2:34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2:34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2:34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2:34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2:34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2:34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2:34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2:34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2:34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2:34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2:34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2:34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2:17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2:17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2:17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2:17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2:17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2:17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2:17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2:17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2:17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2:17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2:17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2:17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2:17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2:17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2:17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2:17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2:17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2:17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2:17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2:17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2:17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2:17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2:17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2:17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2:17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2:17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2:17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2:17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2:17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2:17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2:17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2:17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2:17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2:17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2:17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2:17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2:17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2:17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2:17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2:17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2:17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2:17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2:17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2:17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2:17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2:17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2:17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2:17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2:17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2:17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2:17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2:17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2:17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2:17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2:17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2:17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2:17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2:17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2:17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2:17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2:17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spans="2:17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2:17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2:17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2:16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2:16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2:16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2:16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2:16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2:16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2:16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2:16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2:16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2:16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2:16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2:16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2:16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2:16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2:16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2:16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2:16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2:16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2:16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2:16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2:16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2:16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2:16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2:16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2:16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2:16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2:16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2:16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2:16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2:16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2:16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2:16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2:16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2:16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2:16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2:16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2:16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2:16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2:16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2:16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2:16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2:16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2:16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2:16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2:16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2:16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2:16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2:16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2:16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2:16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2:16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2:16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2:16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2:16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2:16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2:16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2:16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2:16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2:16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2:16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2:16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2:16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2:16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2:16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2:16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2:16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2:16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2:16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2:16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2:16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2:16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2:16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2:16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2:16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2:16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2:16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2:16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2:16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2:16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2:16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2:16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2:16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2:16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2:16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2:16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2:16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2:16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2:16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2:16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2:16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2:16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2:16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2:16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2:16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2:16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2:16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2:16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2:16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2:16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2:16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</sheetData>
  <phoneticPr fontId="2" type="noConversion"/>
  <conditionalFormatting sqref="B12:AC17">
    <cfRule type="expression" dxfId="282" priority="57">
      <formula>WEEKDAY(B12,2)=7</formula>
    </cfRule>
  </conditionalFormatting>
  <conditionalFormatting sqref="B18:AC20">
    <cfRule type="expression" dxfId="278" priority="6">
      <formula>WEEKDAY(B18,2)=7</formula>
    </cfRule>
  </conditionalFormatting>
  <conditionalFormatting sqref="B14:AD16">
    <cfRule type="expression" dxfId="277" priority="17">
      <formula>B$13="sun"</formula>
    </cfRule>
  </conditionalFormatting>
  <conditionalFormatting sqref="B30:AE37">
    <cfRule type="expression" dxfId="275" priority="55">
      <formula>WEEKDAY(B30,2)=7</formula>
    </cfRule>
  </conditionalFormatting>
  <conditionalFormatting sqref="B32:AE34">
    <cfRule type="expression" dxfId="273" priority="15">
      <formula>B$31="sun"</formula>
    </cfRule>
  </conditionalFormatting>
  <conditionalFormatting sqref="B48:AE55">
    <cfRule type="expression" dxfId="271" priority="53">
      <formula>WEEKDAY(B48,2)=7</formula>
    </cfRule>
  </conditionalFormatting>
  <conditionalFormatting sqref="B50:AE52">
    <cfRule type="expression" dxfId="269" priority="13">
      <formula>B$49="sun"</formula>
    </cfRule>
  </conditionalFormatting>
  <conditionalFormatting sqref="B75:AE82">
    <cfRule type="expression" dxfId="266" priority="50">
      <formula>WEEKDAY(B75,2)=7</formula>
    </cfRule>
  </conditionalFormatting>
  <conditionalFormatting sqref="B77:AE79">
    <cfRule type="expression" dxfId="265" priority="10">
      <formula>B$76="sun"</formula>
    </cfRule>
  </conditionalFormatting>
  <conditionalFormatting sqref="B93:AE100">
    <cfRule type="expression" dxfId="263" priority="48">
      <formula>WEEKDAY(B93,2)=7</formula>
    </cfRule>
  </conditionalFormatting>
  <conditionalFormatting sqref="B95:AE97">
    <cfRule type="expression" dxfId="261" priority="8">
      <formula>B$94="sun"</formula>
    </cfRule>
  </conditionalFormatting>
  <conditionalFormatting sqref="B3:AF10">
    <cfRule type="expression" dxfId="259" priority="58">
      <formula>WEEKDAY(B3,2)=7</formula>
    </cfRule>
  </conditionalFormatting>
  <conditionalFormatting sqref="B4:AF4 B13:AC13 B22:AF22 B31:AE31 B40:AF40 B49:AE49 B58:AF58 B67:AF67 B76:AE76 B85:AF85 B94:AE94 B103:AF103">
    <cfRule type="expression" dxfId="257" priority="21">
      <formula>B4="Sun"</formula>
    </cfRule>
  </conditionalFormatting>
  <conditionalFormatting sqref="B5:AF7">
    <cfRule type="expression" dxfId="256" priority="18">
      <formula>B$4="Sun"</formula>
    </cfRule>
  </conditionalFormatting>
  <conditionalFormatting sqref="B21:AF26">
    <cfRule type="expression" dxfId="254" priority="56">
      <formula>WEEKDAY(B21,2)=7</formula>
    </cfRule>
  </conditionalFormatting>
  <conditionalFormatting sqref="B23:AF25">
    <cfRule type="expression" dxfId="252" priority="16">
      <formula>B$22="sun"</formula>
    </cfRule>
  </conditionalFormatting>
  <conditionalFormatting sqref="B27:AF29">
    <cfRule type="expression" dxfId="251" priority="3">
      <formula>WEEKDAY(B27,2)=7</formula>
    </cfRule>
  </conditionalFormatting>
  <conditionalFormatting sqref="B39:AF46">
    <cfRule type="expression" dxfId="247" priority="54">
      <formula>WEEKDAY(B39,2)=7</formula>
    </cfRule>
  </conditionalFormatting>
  <conditionalFormatting sqref="B41:AF43">
    <cfRule type="expression" dxfId="246" priority="14">
      <formula>B$40="sun"</formula>
    </cfRule>
  </conditionalFormatting>
  <conditionalFormatting sqref="B57:AF64">
    <cfRule type="expression" dxfId="243" priority="52">
      <formula>WEEKDAY(B57,2)=7</formula>
    </cfRule>
  </conditionalFormatting>
  <conditionalFormatting sqref="B59:AF61">
    <cfRule type="expression" dxfId="242" priority="12">
      <formula>B$58="sun"</formula>
    </cfRule>
  </conditionalFormatting>
  <conditionalFormatting sqref="B66:AF73">
    <cfRule type="expression" dxfId="239" priority="51">
      <formula>WEEKDAY(B66,2)=7</formula>
    </cfRule>
  </conditionalFormatting>
  <conditionalFormatting sqref="B68:AF70">
    <cfRule type="expression" dxfId="238" priority="11">
      <formula>B$67="sun"</formula>
    </cfRule>
  </conditionalFormatting>
  <conditionalFormatting sqref="B84:AF92">
    <cfRule type="expression" dxfId="235" priority="49">
      <formula>WEEKDAY(B84,2)=7</formula>
    </cfRule>
  </conditionalFormatting>
  <conditionalFormatting sqref="B86:AF88">
    <cfRule type="expression" dxfId="234" priority="9">
      <formula>B$85="sun"</formula>
    </cfRule>
  </conditionalFormatting>
  <conditionalFormatting sqref="B102:AF109">
    <cfRule type="expression" dxfId="231" priority="47">
      <formula>WEEKDAY(B102,2)=7</formula>
    </cfRule>
  </conditionalFormatting>
  <conditionalFormatting sqref="B104:AF106">
    <cfRule type="expression" dxfId="230" priority="7">
      <formula>B$103="sun"</formula>
    </cfRule>
  </conditionalFormatting>
  <pageMargins left="0.25" right="0.25" top="0.75" bottom="0.75" header="0.3" footer="0.3"/>
  <pageSetup paperSize="8" scale="53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A7175C15-0A8A-47C7-B852-B54DCBC9F8EF}">
            <xm:f>AND(COUNTIF(PH!$A:$A, B12)&gt;0, WEEKDAY(B12,2)=6)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B12:AC17</xm:sqref>
        </x14:conditionalFormatting>
        <x14:conditionalFormatting xmlns:xm="http://schemas.microsoft.com/office/excel/2006/main">
          <x14:cfRule type="expression" priority="5" id="{2D5FFE80-27F5-4782-BABA-2665D2332744}">
            <xm:f>COUNTIF(PH!$A:$A, B12)&gt;0</xm:f>
            <x14:dxf>
              <font>
                <color rgb="FFFF0000"/>
              </font>
            </x14:dxf>
          </x14:cfRule>
          <xm:sqref>B12:AC20</xm:sqref>
        </x14:conditionalFormatting>
        <x14:conditionalFormatting xmlns:xm="http://schemas.microsoft.com/office/excel/2006/main">
          <x14:cfRule type="expression" priority="4" id="{FFA78A65-9F44-4F21-927D-7AB71976F5CE}">
            <xm:f>AND(COUNTIF(PH!$A:$A, B18)&gt;0, WEEKDAY(B18,2)=6)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B18:AC20</xm:sqref>
        </x14:conditionalFormatting>
        <x14:conditionalFormatting xmlns:xm="http://schemas.microsoft.com/office/excel/2006/main">
          <x14:cfRule type="expression" priority="38" id="{8DE732A8-C034-4C41-B694-DA12DBA99FE6}">
            <xm:f>AND(COUNTIF(PH!$A:$A, B30)&gt;0, WEEKDAY(B30,2)=6)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9" id="{03EE795F-4AD7-4E09-98EA-56CF01E57BD2}">
            <xm:f>COUNTIF(PH!$A:$A, B30)&gt;0</xm:f>
            <x14:dxf>
              <font>
                <color rgb="FFFF0000"/>
              </font>
            </x14:dxf>
          </x14:cfRule>
          <xm:sqref>B30:AE37</xm:sqref>
        </x14:conditionalFormatting>
        <x14:conditionalFormatting xmlns:xm="http://schemas.microsoft.com/office/excel/2006/main">
          <x14:cfRule type="expression" priority="34" id="{07D898C7-C24D-4DDA-B8D1-0FF8CC276834}">
            <xm:f>AND(COUNTIF(PH!$A:$A,B48)&gt;0, WEEKDAY(B48,2)=6)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5" id="{7F661979-B46E-4980-9946-D2424B52E508}">
            <xm:f>COUNTIF(PH!$A:$A,B48)&gt;0</xm:f>
            <x14:dxf>
              <font>
                <color rgb="FFFF0000"/>
              </font>
            </x14:dxf>
          </x14:cfRule>
          <xm:sqref>B48:AE55</xm:sqref>
        </x14:conditionalFormatting>
        <x14:conditionalFormatting xmlns:xm="http://schemas.microsoft.com/office/excel/2006/main">
          <x14:cfRule type="expression" priority="29" id="{BC9C16DF-5F39-4A7E-A73C-0983255D933A}">
            <xm:f>AND(COUNTIF(PH!$A:$A, B75)&gt;0, WEEKDAY(B75,2)=6)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8" id="{A76511DF-9CE5-4C7A-9EC9-E0B67B63F911}">
            <xm:f>COUNTIF(PH!$A:$A, B75)&gt;0</xm:f>
            <x14:dxf>
              <font>
                <color rgb="FFFF0000"/>
              </font>
            </x14:dxf>
          </x14:cfRule>
          <xm:sqref>B75:AE82</xm:sqref>
        </x14:conditionalFormatting>
        <x14:conditionalFormatting xmlns:xm="http://schemas.microsoft.com/office/excel/2006/main">
          <x14:cfRule type="expression" priority="25" id="{956888C3-3E7D-4D69-9798-C96147917086}">
            <xm:f>COUNTIF(PH!$A:$A, B93)&gt;0</xm:f>
            <x14:dxf>
              <font>
                <color rgb="FFFF0000"/>
              </font>
            </x14:dxf>
          </x14:cfRule>
          <x14:cfRule type="expression" priority="24" id="{1B3F3AC6-833D-45C1-8E97-5C3CAED83B81}">
            <xm:f>AND(COUNTIF(PH!$A:$A, B93)&gt;0, WEEKDAY(B93,2)=6)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B93:AE100</xm:sqref>
        </x14:conditionalFormatting>
        <x14:conditionalFormatting xmlns:xm="http://schemas.microsoft.com/office/excel/2006/main">
          <x14:cfRule type="expression" priority="46" id="{CC9EAB93-0FE0-411B-9673-D3B3E5924057}">
            <xm:f>COUNTIF(PH!$A:$A, B3)&gt;0</xm:f>
            <x14:dxf>
              <font>
                <color rgb="FFFF0000"/>
              </font>
            </x14:dxf>
          </x14:cfRule>
          <x14:cfRule type="expression" priority="45" id="{9F5BD24A-2BA3-4E3A-A59B-25B8886FFC4E}">
            <xm:f>AND(COUNTIF(PH!$A:$A, B3)&gt;0, WEEKDAY(B3,2)=6)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B3:AF10</xm:sqref>
        </x14:conditionalFormatting>
        <x14:conditionalFormatting xmlns:xm="http://schemas.microsoft.com/office/excel/2006/main">
          <x14:cfRule type="expression" priority="41" id="{994FDE42-03FC-4ED7-BFD9-EC8191CD0DEF}">
            <xm:f>AND(COUNTIF(PH!$A:$A, B21)&gt;0, WEEKDAY(B21,2)=6)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B21:AF26</xm:sqref>
        </x14:conditionalFormatting>
        <x14:conditionalFormatting xmlns:xm="http://schemas.microsoft.com/office/excel/2006/main">
          <x14:cfRule type="expression" priority="2" id="{B1703B69-1D9B-4BF1-8E42-E8C3F264FE7E}">
            <xm:f>COUNTIF(PH!$A:$A, B21)&gt;0</xm:f>
            <x14:dxf>
              <font>
                <color rgb="FFFF0000"/>
              </font>
            </x14:dxf>
          </x14:cfRule>
          <xm:sqref>B21:AF29</xm:sqref>
        </x14:conditionalFormatting>
        <x14:conditionalFormatting xmlns:xm="http://schemas.microsoft.com/office/excel/2006/main">
          <x14:cfRule type="expression" priority="1" id="{7C2B32AE-9000-453C-BFF6-A8EADECD189A}">
            <xm:f>AND(COUNTIF(PH!$A:$A, B27)&gt;0, WEEKDAY(B27,2)=6)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B27:AF29</xm:sqref>
        </x14:conditionalFormatting>
        <x14:conditionalFormatting xmlns:xm="http://schemas.microsoft.com/office/excel/2006/main">
          <x14:cfRule type="expression" priority="36" id="{1D164BB7-9023-483C-901C-00BD1F196C2F}">
            <xm:f>AND(COUNTIF(PH!$A:$A,B39)&gt;0, WEEKDAY(B39,2)=6)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7" id="{E2715AEF-9F8E-4C94-AB62-50F578EC8011}">
            <xm:f>COUNTIF(PH!$A:$A, B39)&gt;0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B39:AF46</xm:sqref>
        </x14:conditionalFormatting>
        <x14:conditionalFormatting xmlns:xm="http://schemas.microsoft.com/office/excel/2006/main">
          <x14:cfRule type="expression" priority="32" id="{1F79E93A-A1EA-4E5A-B41D-B660E2241F7F}">
            <xm:f>AND(COUNTIF(PH!$A:$A, B57)&gt;0, WEEKDAY(B57,2)=6)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3" id="{991AB4A4-CB15-47CF-ABE8-BFB618A4E80D}">
            <xm:f>COUNTIF(PH!$A:$A, B57)&gt;0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B57:AF64</xm:sqref>
        </x14:conditionalFormatting>
        <x14:conditionalFormatting xmlns:xm="http://schemas.microsoft.com/office/excel/2006/main">
          <x14:cfRule type="expression" priority="30" id="{8860AD59-6708-4290-9D1B-7EB5247B847B}">
            <xm:f>AND(COUNTIF(PH!$A:$A,B66)&gt;0, WEEKDAY(B66,2)=6)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1" id="{AF9FFAE8-0813-43D6-8E0B-403A4603C5B4}">
            <xm:f>COUNTIF(PH!$A:$A, B66)&gt;0</xm:f>
            <x14:dxf>
              <font>
                <color rgb="FFFF0000"/>
              </font>
            </x14:dxf>
          </x14:cfRule>
          <xm:sqref>B66:AF73</xm:sqref>
        </x14:conditionalFormatting>
        <x14:conditionalFormatting xmlns:xm="http://schemas.microsoft.com/office/excel/2006/main">
          <x14:cfRule type="expression" priority="27" id="{9853790C-4FAD-4237-B77C-77B50CB6D0C1}">
            <xm:f>COUNTIF(PH!$A:$A, B84)&gt;0</xm:f>
            <x14:dxf>
              <font>
                <color rgb="FFFF0000"/>
              </font>
            </x14:dxf>
          </x14:cfRule>
          <x14:cfRule type="expression" priority="26" id="{BF77CA9D-6621-4324-AB13-FC59B0275D96}">
            <xm:f>AND(COUNTIF(PH!$A:$A, B84)&gt;0, WEEKDAY(B84,2)=6)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B84:AF92</xm:sqref>
        </x14:conditionalFormatting>
        <x14:conditionalFormatting xmlns:xm="http://schemas.microsoft.com/office/excel/2006/main">
          <x14:cfRule type="expression" priority="23" id="{50277555-C764-461D-B2EA-E143FD05B232}">
            <xm:f>COUNTIF(PH!$A:$A, B102)&gt;0</xm:f>
            <x14:dxf>
              <font>
                <color rgb="FFFF0000"/>
              </font>
            </x14:dxf>
          </x14:cfRule>
          <x14:cfRule type="expression" priority="22" id="{6D3CFB53-67F2-4D9F-9EBB-7D5B9AFAB53F}">
            <xm:f>AND(COUNTIF(PH!$A:$A, B102)&gt;0, WEEKDAY(B102,2)=6)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B102:AF109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00F6DD-0C3F-44E5-96D5-CE5FC44E36FF}">
          <x14:formula1>
            <xm:f>'On call stat'!$T$3:$T$14</xm:f>
          </x14:formula1>
          <xm:sqref>B59:AF64 B104:AF109 B14:AC20 B50:AE55 B23:AF29 B41:AF46 B77:AE82 B5:AF10 B68:AF73 B86:AF92 B95:AE100 B32:AE37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3DD3-6CFC-45FC-AA9A-F5E5A2C0B32D}">
  <sheetPr codeName="Sheet2">
    <pageSetUpPr fitToPage="1"/>
  </sheetPr>
  <dimension ref="A1:AP48"/>
  <sheetViews>
    <sheetView topLeftCell="A15" zoomScale="55" zoomScaleNormal="55" workbookViewId="0">
      <selection activeCell="C18" sqref="C18"/>
    </sheetView>
  </sheetViews>
  <sheetFormatPr defaultRowHeight="15"/>
  <cols>
    <col min="2" max="2" width="31.42578125" customWidth="1"/>
    <col min="3" max="3" width="10.140625" bestFit="1" customWidth="1"/>
    <col min="36" max="36" width="9.140625" style="42"/>
    <col min="40" max="40" width="17.85546875" customWidth="1"/>
    <col min="42" max="42" width="13.28515625" customWidth="1"/>
  </cols>
  <sheetData>
    <row r="1" spans="1:42">
      <c r="A1" t="s">
        <v>19</v>
      </c>
      <c r="B1" s="18">
        <f>Master!B1</f>
        <v>2026</v>
      </c>
    </row>
    <row r="3" spans="1:42">
      <c r="B3" s="1"/>
      <c r="C3" s="9">
        <f>IFERROR(IF(Master!B3="", "", Master!B3), "")</f>
        <v>46023</v>
      </c>
      <c r="D3" s="9">
        <f>IFERROR(IF(Master!C3="", "", Master!C3), "")</f>
        <v>46024</v>
      </c>
      <c r="E3" s="9">
        <f>IFERROR(IF(Master!D3="", "", Master!D3), "")</f>
        <v>46025</v>
      </c>
      <c r="F3" s="9">
        <f>IFERROR(IF(Master!E3="", "", Master!E3), "")</f>
        <v>46026</v>
      </c>
      <c r="G3" s="9">
        <f>IFERROR(IF(Master!F3="", "", Master!F3), "")</f>
        <v>46027</v>
      </c>
      <c r="H3" s="9">
        <f>IFERROR(IF(Master!G3="", "", Master!G3), "")</f>
        <v>46028</v>
      </c>
      <c r="I3" s="9">
        <f>IFERROR(IF(Master!H3="", "", Master!H3), "")</f>
        <v>46029</v>
      </c>
      <c r="J3" s="9">
        <f>IFERROR(IF(Master!I3="", "", Master!I3), "")</f>
        <v>46030</v>
      </c>
      <c r="K3" s="9">
        <f>IFERROR(IF(Master!J3="", "", Master!J3), "")</f>
        <v>46031</v>
      </c>
      <c r="L3" s="9">
        <f>IFERROR(IF(Master!K3="", "", Master!K3), "")</f>
        <v>46032</v>
      </c>
      <c r="M3" s="9">
        <f>IFERROR(IF(Master!L3="", "", Master!L3), "")</f>
        <v>46033</v>
      </c>
      <c r="N3" s="9">
        <f>IFERROR(IF(Master!M3="", "", Master!M3), "")</f>
        <v>46034</v>
      </c>
      <c r="O3" s="9">
        <f>IFERROR(IF(Master!N3="", "", Master!N3), "")</f>
        <v>46035</v>
      </c>
      <c r="P3" s="9">
        <f>IFERROR(IF(Master!O3="", "", Master!O3), "")</f>
        <v>46036</v>
      </c>
      <c r="Q3" s="9">
        <f>IFERROR(IF(Master!P3="", "", Master!P3), "")</f>
        <v>46037</v>
      </c>
      <c r="R3" s="9">
        <f>IFERROR(IF(Master!Q3="", "", Master!Q3), "")</f>
        <v>46038</v>
      </c>
      <c r="S3" s="9">
        <f>IFERROR(IF(Master!R3="", "", Master!R3), "")</f>
        <v>46039</v>
      </c>
      <c r="T3" s="9">
        <f>IFERROR(IF(Master!S3="", "", Master!S3), "")</f>
        <v>46040</v>
      </c>
      <c r="U3" s="9">
        <f>IFERROR(IF(Master!T3="", "", Master!T3), "")</f>
        <v>46041</v>
      </c>
      <c r="V3" s="9">
        <f>IFERROR(IF(Master!U3="", "", Master!U3), "")</f>
        <v>46042</v>
      </c>
      <c r="W3" s="9">
        <f>IFERROR(IF(Master!V3="", "", Master!V3), "")</f>
        <v>46043</v>
      </c>
      <c r="X3" s="9">
        <f>IFERROR(IF(Master!W3="", "", Master!W3), "")</f>
        <v>46044</v>
      </c>
      <c r="Y3" s="9">
        <f>IFERROR(IF(Master!X3="", "", Master!X3), "")</f>
        <v>46045</v>
      </c>
      <c r="Z3" s="9">
        <f>IFERROR(IF(Master!Y3="", "", Master!Y3), "")</f>
        <v>46046</v>
      </c>
      <c r="AA3" s="9">
        <f>IFERROR(IF(Master!Z3="", "", Master!Z3), "")</f>
        <v>46047</v>
      </c>
      <c r="AB3" s="9">
        <f>IFERROR(IF(Master!AA3="", "", Master!AA3), "")</f>
        <v>46048</v>
      </c>
      <c r="AC3" s="9">
        <f>IFERROR(IF(Master!AB3="", "", Master!AB3), "")</f>
        <v>46049</v>
      </c>
      <c r="AD3" s="9">
        <f>IFERROR(IF(Master!AC3="", "", Master!AC3), "")</f>
        <v>46050</v>
      </c>
      <c r="AE3" s="9">
        <f>IFERROR(IF(Master!AD3="", "", Master!AD3), "")</f>
        <v>46051</v>
      </c>
      <c r="AF3" s="9">
        <f>IFERROR(IF(Master!AE3="", "", Master!AE3), "")</f>
        <v>46052</v>
      </c>
      <c r="AG3" s="9">
        <f>IFERROR(IF(Master!AF3="", "", Master!AF3), "")</f>
        <v>46053</v>
      </c>
    </row>
    <row r="4" spans="1:42">
      <c r="C4" s="13" t="str">
        <f t="shared" ref="C4:AG4" si="0">TEXT(C3,"ddd")</f>
        <v>Thu</v>
      </c>
      <c r="D4" s="13" t="str">
        <f t="shared" si="0"/>
        <v>Fri</v>
      </c>
      <c r="E4" s="13" t="str">
        <f t="shared" si="0"/>
        <v>Sat</v>
      </c>
      <c r="F4" s="13" t="str">
        <f t="shared" si="0"/>
        <v>Sun</v>
      </c>
      <c r="G4" s="13" t="str">
        <f t="shared" si="0"/>
        <v>Mon</v>
      </c>
      <c r="H4" s="13" t="str">
        <f t="shared" si="0"/>
        <v>Tue</v>
      </c>
      <c r="I4" s="13" t="str">
        <f t="shared" si="0"/>
        <v>Wed</v>
      </c>
      <c r="J4" s="13" t="str">
        <f t="shared" si="0"/>
        <v>Thu</v>
      </c>
      <c r="K4" s="13" t="str">
        <f t="shared" si="0"/>
        <v>Fri</v>
      </c>
      <c r="L4" s="13" t="str">
        <f t="shared" si="0"/>
        <v>Sat</v>
      </c>
      <c r="M4" s="13" t="str">
        <f t="shared" si="0"/>
        <v>Sun</v>
      </c>
      <c r="N4" s="13" t="str">
        <f t="shared" si="0"/>
        <v>Mon</v>
      </c>
      <c r="O4" s="13" t="str">
        <f t="shared" si="0"/>
        <v>Tue</v>
      </c>
      <c r="P4" s="13" t="str">
        <f t="shared" si="0"/>
        <v>Wed</v>
      </c>
      <c r="Q4" s="13" t="str">
        <f t="shared" si="0"/>
        <v>Thu</v>
      </c>
      <c r="R4" s="13" t="str">
        <f t="shared" si="0"/>
        <v>Fri</v>
      </c>
      <c r="S4" s="13" t="str">
        <f t="shared" si="0"/>
        <v>Sat</v>
      </c>
      <c r="T4" s="13" t="str">
        <f t="shared" si="0"/>
        <v>Sun</v>
      </c>
      <c r="U4" s="13" t="str">
        <f t="shared" si="0"/>
        <v>Mon</v>
      </c>
      <c r="V4" s="13" t="str">
        <f t="shared" si="0"/>
        <v>Tue</v>
      </c>
      <c r="W4" s="13" t="str">
        <f t="shared" si="0"/>
        <v>Wed</v>
      </c>
      <c r="X4" s="13" t="str">
        <f t="shared" si="0"/>
        <v>Thu</v>
      </c>
      <c r="Y4" s="13" t="str">
        <f t="shared" si="0"/>
        <v>Fri</v>
      </c>
      <c r="Z4" s="13" t="str">
        <f t="shared" si="0"/>
        <v>Sat</v>
      </c>
      <c r="AA4" s="13" t="str">
        <f t="shared" si="0"/>
        <v>Sun</v>
      </c>
      <c r="AB4" s="13" t="str">
        <f t="shared" si="0"/>
        <v>Mon</v>
      </c>
      <c r="AC4" s="13" t="str">
        <f t="shared" si="0"/>
        <v>Tue</v>
      </c>
      <c r="AD4" s="13" t="str">
        <f t="shared" si="0"/>
        <v>Wed</v>
      </c>
      <c r="AE4" s="13" t="str">
        <f t="shared" si="0"/>
        <v>Thu</v>
      </c>
      <c r="AF4" s="13" t="str">
        <f t="shared" si="0"/>
        <v>Fri</v>
      </c>
      <c r="AG4" s="13" t="str">
        <f t="shared" si="0"/>
        <v>Sat</v>
      </c>
    </row>
    <row r="5" spans="1:42">
      <c r="B5" s="1"/>
      <c r="C5" s="9" t="str">
        <f>IFERROR(IF(Master!B5="", "", Master!B5), "")</f>
        <v>A Lam</v>
      </c>
      <c r="D5" s="9" t="str">
        <f>IFERROR(IF(Master!C5="", "", Master!C5), "")</f>
        <v>A Lam</v>
      </c>
      <c r="E5" s="9" t="str">
        <f>IFERROR(IF(Master!D5="", "", Master!D5), "")</f>
        <v>A Lam</v>
      </c>
      <c r="F5" s="9" t="str">
        <f>IFERROR(IF(Master!E5="", "", Master!E5), "")</f>
        <v>A Lam</v>
      </c>
      <c r="G5" s="9" t="s">
        <v>24</v>
      </c>
      <c r="H5" s="9" t="s">
        <v>24</v>
      </c>
      <c r="I5" s="9" t="s">
        <v>24</v>
      </c>
      <c r="J5" s="9" t="s">
        <v>24</v>
      </c>
      <c r="K5" s="9" t="s">
        <v>24</v>
      </c>
      <c r="L5" s="9" t="s">
        <v>24</v>
      </c>
      <c r="M5" s="9" t="s">
        <v>24</v>
      </c>
      <c r="N5" s="9" t="str">
        <f>IFERROR(IF(Master!M5="", "", Master!M5), "")</f>
        <v>Amy</v>
      </c>
      <c r="O5" s="9" t="str">
        <f>IFERROR(IF(Master!N5="", "", Master!N5), "")</f>
        <v>Amy</v>
      </c>
      <c r="P5" s="9" t="str">
        <f>IFERROR(IF(Master!O5="", "", Master!O5), "")</f>
        <v>Amy</v>
      </c>
      <c r="Q5" s="9" t="str">
        <f>IFERROR(IF(Master!P5="", "", Master!P5), "")</f>
        <v>Ka Po</v>
      </c>
      <c r="R5" s="9" t="s">
        <v>22</v>
      </c>
      <c r="S5" s="9" t="str">
        <f>IFERROR(IF(Master!R5="", "", Master!R5), "")</f>
        <v>Amy</v>
      </c>
      <c r="T5" s="9" t="str">
        <f>IFERROR(IF(Master!S5="", "", Master!S5), "")</f>
        <v>Amy</v>
      </c>
      <c r="U5" s="9" t="str">
        <f>IFERROR(IF(Master!T5="", "", Master!T5), "")</f>
        <v>Amy</v>
      </c>
      <c r="V5" s="9" t="s">
        <v>22</v>
      </c>
      <c r="W5" s="9" t="str">
        <f>IFERROR(IF(Master!V5="", "", Master!V5), "")</f>
        <v>Amy</v>
      </c>
      <c r="X5" s="9" t="str">
        <f>IFERROR(IF(Master!W5="", "", Master!W5), "")</f>
        <v>Amy</v>
      </c>
      <c r="Y5" s="9" t="str">
        <f>IFERROR(IF(Master!X5="", "", Master!X5), "")</f>
        <v>Amy</v>
      </c>
      <c r="Z5" s="9" t="str">
        <f>IFERROR(IF(Master!Y5="", "", Master!Y5), "")</f>
        <v>Amy</v>
      </c>
      <c r="AA5" s="9" t="str">
        <f>IFERROR(IF(Master!Z5="", "", Master!Z5), "")</f>
        <v>Amy</v>
      </c>
      <c r="AB5" s="9" t="str">
        <f>IFERROR(IF(Master!AA5="", "", Master!AA5), "")</f>
        <v>Dicky</v>
      </c>
      <c r="AC5" s="9" t="str">
        <f>IFERROR(IF(Master!AB5="", "", Master!AB5), "")</f>
        <v>Dicky</v>
      </c>
      <c r="AD5" s="9" t="str">
        <f>IFERROR(IF(Master!AC5="", "", Master!AC5), "")</f>
        <v>Dicky</v>
      </c>
      <c r="AE5" s="9" t="str">
        <f>IFERROR(IF(Master!AD5="", "", Master!AD5), "")</f>
        <v>Dicky</v>
      </c>
      <c r="AF5" s="9" t="str">
        <f>IFERROR(IF(Master!AE5="", "", Master!AE5), "")</f>
        <v>Dicky</v>
      </c>
      <c r="AG5" s="9" t="str">
        <f>IFERROR(IF(Master!AF5="", "", Master!AF5), "")</f>
        <v>Dicky</v>
      </c>
    </row>
    <row r="6" spans="1:42">
      <c r="B6" s="1"/>
      <c r="C6" s="9" t="str">
        <f>IFERROR(IF(Master!B6="", "", Master!B6), "")</f>
        <v>Melody</v>
      </c>
      <c r="D6" s="9" t="str">
        <f>IFERROR(IF(Master!C6="", "", Master!C6), "")</f>
        <v>Melody</v>
      </c>
      <c r="E6" s="9" t="str">
        <f>IFERROR(IF(Master!D6="", "", Master!D6), "")</f>
        <v>Melody</v>
      </c>
      <c r="F6" s="9" t="str">
        <f>IFERROR(IF(Master!E6="", "", Master!E6), "")</f>
        <v>Melody</v>
      </c>
      <c r="G6" s="9" t="str">
        <f>IFERROR(IF(Master!F6="", "", Master!F6), "")</f>
        <v>Melody</v>
      </c>
      <c r="H6" s="9" t="str">
        <f>IFERROR(IF(Master!G6="", "", Master!G6), "")</f>
        <v>Melody</v>
      </c>
      <c r="I6" s="9" t="str">
        <f>IFERROR(IF(Master!H6="", "", Master!H6), "")</f>
        <v>Melody</v>
      </c>
      <c r="J6" s="9" t="str">
        <f>IFERROR(IF(Master!I6="", "", Master!I6), "")</f>
        <v>Melody</v>
      </c>
      <c r="K6" s="9" t="str">
        <f>IFERROR(IF(Master!J6="", "", Master!J6), "")</f>
        <v>Melody</v>
      </c>
      <c r="L6" s="9" t="str">
        <f>IFERROR(IF(Master!K6="", "", Master!K6), "")</f>
        <v>Melody</v>
      </c>
      <c r="M6" s="9" t="str">
        <f>IFERROR(IF(Master!L6="", "", Master!L6), "")</f>
        <v>Melody</v>
      </c>
      <c r="N6" s="9" t="str">
        <f>IFERROR(IF(Master!M6="", "", Master!M6), "")</f>
        <v>A Lam</v>
      </c>
      <c r="O6" s="9" t="str">
        <f>IFERROR(IF(Master!N6="", "", Master!N6), "")</f>
        <v>A Lam</v>
      </c>
      <c r="P6" s="9" t="str">
        <f>IFERROR(IF(Master!O6="", "", Master!O6), "")</f>
        <v>A Lam</v>
      </c>
      <c r="Q6" s="9" t="str">
        <f>IFERROR(IF(Master!P6="", "", Master!P6), "")</f>
        <v>A Lam</v>
      </c>
      <c r="R6" s="9" t="str">
        <f>IFERROR(IF(Master!Q6="", "", Master!Q6), "")</f>
        <v>A Lam</v>
      </c>
      <c r="S6" s="9" t="str">
        <f>IFERROR(IF(Master!R6="", "", Master!R6), "")</f>
        <v>Ka Po</v>
      </c>
      <c r="T6" s="9" t="str">
        <f>IFERROR(IF(Master!S6="", "", Master!S6), "")</f>
        <v>Ka Po</v>
      </c>
      <c r="U6" s="9" t="str">
        <f>IFERROR(IF(Master!T6="", "", Master!T6), "")</f>
        <v>A Lam</v>
      </c>
      <c r="V6" s="9" t="str">
        <f>IFERROR(IF(Master!U6="", "", Master!U6), "")</f>
        <v>A Lam</v>
      </c>
      <c r="W6" s="9" t="str">
        <f>IFERROR(IF(Master!V6="", "", Master!V6), "")</f>
        <v>A Lam</v>
      </c>
      <c r="X6" s="9" t="str">
        <f>IFERROR(IF(Master!W6="", "", Master!W6), "")</f>
        <v>A Lam</v>
      </c>
      <c r="Y6" s="9" t="str">
        <f>IFERROR(IF(Master!X6="", "", Master!X6), "")</f>
        <v>A Lam</v>
      </c>
      <c r="Z6" s="9" t="str">
        <f>IFERROR(IF(Master!Y6="", "", Master!Y6), "")</f>
        <v>A Lam</v>
      </c>
      <c r="AA6" s="9" t="str">
        <f>IFERROR(IF(Master!Z6="", "", Master!Z6), "")</f>
        <v>A Lam</v>
      </c>
      <c r="AB6" s="9" t="str">
        <f>IFERROR(IF(Master!AA6="", "", Master!AA6), "")</f>
        <v>Ka Po</v>
      </c>
      <c r="AC6" s="9" t="str">
        <f>IFERROR(IF(Master!AB6="", "", Master!AB6), "")</f>
        <v>Ka Po</v>
      </c>
      <c r="AD6" s="9" t="str">
        <f>IFERROR(IF(Master!AC6="", "", Master!AC6), "")</f>
        <v>Ka Po</v>
      </c>
      <c r="AE6" s="9" t="str">
        <f>IFERROR(IF(Master!AD6="", "", Master!AD6), "")</f>
        <v>Ka Po</v>
      </c>
      <c r="AF6" s="9" t="str">
        <f>IFERROR(IF(Master!AE6="", "", Master!AE6), "")</f>
        <v>Ka Po</v>
      </c>
      <c r="AG6" s="9" t="str">
        <f>IFERROR(IF(Master!AF6="", "", Master!AF6), "")</f>
        <v>Ka Po</v>
      </c>
    </row>
    <row r="7" spans="1:42">
      <c r="B7" s="1"/>
      <c r="C7" s="9" t="str">
        <f>IFERROR(IF(Master!B7="", "", Master!B7), "")</f>
        <v>Katrina</v>
      </c>
      <c r="D7" s="9" t="str">
        <f>IFERROR(IF(Master!C7="", "", Master!C7), "")</f>
        <v>Katrina</v>
      </c>
      <c r="E7" s="9" t="str">
        <f>IFERROR(IF(Master!D7="", "", Master!D7), "")</f>
        <v>Katrina</v>
      </c>
      <c r="F7" s="9" t="str">
        <f>IFERROR(IF(Master!E7="", "", Master!E7), "")</f>
        <v>Katrina</v>
      </c>
      <c r="G7" s="9" t="str">
        <f>IFERROR(IF(Master!F7="", "", Master!F7), "")</f>
        <v>Ka Po</v>
      </c>
      <c r="H7" s="9" t="str">
        <f>IFERROR(IF(Master!G7="", "", Master!G7), "")</f>
        <v>Amy</v>
      </c>
      <c r="I7" s="9" t="str">
        <f>IFERROR(IF(Master!H7="", "", Master!H7), "")</f>
        <v>Ka Po</v>
      </c>
      <c r="J7" s="9" t="str">
        <f>IFERROR(IF(Master!I7="", "", Master!I7), "")</f>
        <v>Ka Po</v>
      </c>
      <c r="K7" s="9" t="str">
        <f>IFERROR(IF(Master!J7="", "", Master!J7), "")</f>
        <v>Ka Po</v>
      </c>
      <c r="L7" s="9" t="str">
        <f>IFERROR(IF(Master!K7="", "", Master!K7), "")</f>
        <v>A Lam</v>
      </c>
      <c r="M7" s="9" t="str">
        <f>IFERROR(IF(Master!L7="", "", Master!L7), "")</f>
        <v>A Lam</v>
      </c>
      <c r="N7" s="9" t="str">
        <f>IFERROR(IF(Master!M7="", "", Master!M7), "")</f>
        <v>Katrina</v>
      </c>
      <c r="O7" s="9" t="str">
        <f>IFERROR(IF(Master!N7="", "", Master!N7), "")</f>
        <v>Katrina</v>
      </c>
      <c r="P7" s="9" t="str">
        <f>IFERROR(IF(Master!O7="", "", Master!O7), "")</f>
        <v>Katrina</v>
      </c>
      <c r="Q7" s="9" t="str">
        <f>IFERROR(IF(Master!P7="", "", Master!P7), "")</f>
        <v>Katrina</v>
      </c>
      <c r="R7" s="9" t="str">
        <f>IFERROR(IF(Master!Q7="", "", Master!Q7), "")</f>
        <v>Katrina</v>
      </c>
      <c r="S7" s="9" t="str">
        <f>IFERROR(IF(Master!R7="", "", Master!R7), "")</f>
        <v>Katrina</v>
      </c>
      <c r="T7" s="9" t="str">
        <f>IFERROR(IF(Master!S7="", "", Master!S7), "")</f>
        <v>Katrina</v>
      </c>
      <c r="U7" s="9" t="str">
        <f>IFERROR(IF(Master!T7="", "", Master!T7), "")</f>
        <v>Melody</v>
      </c>
      <c r="V7" s="9" t="str">
        <f>IFERROR(IF(Master!U7="", "", Master!U7), "")</f>
        <v>Melody</v>
      </c>
      <c r="W7" s="9" t="str">
        <f>IFERROR(IF(Master!V7="", "", Master!V7), "")</f>
        <v>Melody</v>
      </c>
      <c r="X7" s="9" t="str">
        <f>IFERROR(IF(Master!W7="", "", Master!W7), "")</f>
        <v>Melody</v>
      </c>
      <c r="Y7" s="9" t="str">
        <f>IFERROR(IF(Master!X7="", "", Master!X7), "")</f>
        <v>Melody</v>
      </c>
      <c r="Z7" s="9" t="str">
        <f>IFERROR(IF(Master!Y7="", "", Master!Y7), "")</f>
        <v>Ka Po</v>
      </c>
      <c r="AA7" s="9" t="str">
        <f>IFERROR(IF(Master!Z7="", "", Master!Z7), "")</f>
        <v>Ka Po</v>
      </c>
      <c r="AB7" s="9" t="str">
        <f>IFERROR(IF(Master!AA7="", "", Master!AA7), "")</f>
        <v>Melody</v>
      </c>
      <c r="AC7" s="9" t="str">
        <f>IFERROR(IF(Master!AB7="", "", Master!AB7), "")</f>
        <v>Melody</v>
      </c>
      <c r="AD7" s="9" t="str">
        <f>IFERROR(IF(Master!AC7="", "", Master!AC7), "")</f>
        <v>Melody</v>
      </c>
      <c r="AE7" s="9" t="str">
        <f>IFERROR(IF(Master!AD7="", "", Master!AD7), "")</f>
        <v>Melody</v>
      </c>
      <c r="AF7" s="9" t="str">
        <f>IFERROR(IF(Master!AE7="", "", Master!AE7), "")</f>
        <v>Melody</v>
      </c>
      <c r="AG7" s="9" t="str">
        <f>IFERROR(IF(Master!AF7="", "", Master!AF7), "")</f>
        <v>Katrina</v>
      </c>
    </row>
    <row r="8" spans="1:42">
      <c r="B8" s="1"/>
      <c r="C8" s="9" t="str">
        <f>IFERROR(IF(Master!B8="", "", Master!B8), "")</f>
        <v/>
      </c>
      <c r="D8" s="9" t="str">
        <f>IFERROR(IF(Master!C8="", "", Master!C8), "")</f>
        <v/>
      </c>
      <c r="E8" s="9" t="str">
        <f>IFERROR(IF(Master!D8="", "", Master!D8), "")</f>
        <v/>
      </c>
      <c r="F8" s="9" t="str">
        <f>IFERROR(IF(Master!E8="", "", Master!E8), "")</f>
        <v/>
      </c>
      <c r="G8" s="9" t="str">
        <f>IFERROR(IF(Master!F8="", "", Master!F8), "")</f>
        <v/>
      </c>
      <c r="H8" s="9" t="str">
        <f>IFERROR(IF(Master!G8="", "", Master!G8), "")</f>
        <v/>
      </c>
      <c r="I8" s="9" t="str">
        <f>IFERROR(IF(Master!H8="", "", Master!H8), "")</f>
        <v/>
      </c>
      <c r="J8" s="9" t="str">
        <f>IFERROR(IF(Master!I8="", "", Master!I8), "")</f>
        <v/>
      </c>
      <c r="K8" s="9" t="str">
        <f>IFERROR(IF(Master!J8="", "", Master!J8), "")</f>
        <v/>
      </c>
      <c r="L8" s="9" t="str">
        <f>IFERROR(IF(Master!K8="", "", Master!K8), "")</f>
        <v/>
      </c>
      <c r="M8" s="9" t="str">
        <f>IFERROR(IF(Master!L8="", "", Master!L8), "")</f>
        <v/>
      </c>
      <c r="N8" s="9" t="str">
        <f>IFERROR(IF(Master!M8="", "", Master!M8), "")</f>
        <v/>
      </c>
      <c r="O8" s="9" t="str">
        <f>IFERROR(IF(Master!N8="", "", Master!N8), "")</f>
        <v/>
      </c>
      <c r="P8" s="9" t="str">
        <f>IFERROR(IF(Master!O8="", "", Master!O8), "")</f>
        <v/>
      </c>
      <c r="Q8" s="9" t="str">
        <f>IFERROR(IF(Master!P8="", "", Master!P8), "")</f>
        <v/>
      </c>
      <c r="R8" s="9" t="str">
        <f>IFERROR(IF(Master!Q8="", "", Master!Q8), "")</f>
        <v/>
      </c>
      <c r="S8" s="9" t="str">
        <f>IFERROR(IF(Master!R8="", "", Master!R8), "")</f>
        <v/>
      </c>
      <c r="T8" s="9" t="str">
        <f>IFERROR(IF(Master!S8="", "", Master!S8), "")</f>
        <v/>
      </c>
      <c r="U8" s="9" t="str">
        <f>IFERROR(IF(Master!T8="", "", Master!T8), "")</f>
        <v/>
      </c>
      <c r="V8" s="9" t="str">
        <f>IFERROR(IF(Master!U8="", "", Master!U8), "")</f>
        <v/>
      </c>
      <c r="W8" s="9" t="str">
        <f>IFERROR(IF(Master!V8="", "", Master!V8), "")</f>
        <v/>
      </c>
      <c r="X8" s="9" t="str">
        <f>IFERROR(IF(Master!W8="", "", Master!W8), "")</f>
        <v/>
      </c>
      <c r="Y8" s="9" t="str">
        <f>IFERROR(IF(Master!X8="", "", Master!X8), "")</f>
        <v/>
      </c>
      <c r="Z8" s="9" t="str">
        <f>IFERROR(IF(Master!Y8="", "", Master!Y8), "")</f>
        <v/>
      </c>
      <c r="AA8" s="9" t="str">
        <f>IFERROR(IF(Master!Z8="", "", Master!Z8), "")</f>
        <v/>
      </c>
      <c r="AB8" s="9" t="str">
        <f>IFERROR(IF(Master!AA8="", "", Master!AA8), "")</f>
        <v/>
      </c>
      <c r="AC8" s="9" t="str">
        <f>IFERROR(IF(Master!AB8="", "", Master!AB8), "")</f>
        <v/>
      </c>
      <c r="AD8" s="9" t="str">
        <f>IFERROR(IF(Master!AC8="", "", Master!AC8), "")</f>
        <v/>
      </c>
      <c r="AE8" s="9" t="str">
        <f>IFERROR(IF(Master!AD8="", "", Master!AD8), "")</f>
        <v/>
      </c>
      <c r="AF8" s="9" t="str">
        <f>IFERROR(IF(Master!AE8="", "", Master!AE8), "")</f>
        <v/>
      </c>
      <c r="AG8" s="9" t="str">
        <f>IFERROR(IF(Master!AF8="", "", Master!AF8), "")</f>
        <v/>
      </c>
    </row>
    <row r="9" spans="1:42">
      <c r="B9" s="1"/>
      <c r="C9" s="9" t="str">
        <f>IFERROR(IF(Master!B9="", "", Master!B9), "")</f>
        <v/>
      </c>
      <c r="D9" s="9" t="str">
        <f>IFERROR(IF(Master!C9="", "", Master!C9), "")</f>
        <v/>
      </c>
      <c r="E9" s="9" t="str">
        <f>IFERROR(IF(Master!D9="", "", Master!D9), "")</f>
        <v/>
      </c>
      <c r="F9" s="9" t="str">
        <f>IFERROR(IF(Master!E9="", "", Master!E9), "")</f>
        <v/>
      </c>
      <c r="G9" s="9" t="str">
        <f>IFERROR(IF(Master!F9="", "", Master!F9), "")</f>
        <v/>
      </c>
      <c r="H9" s="9" t="str">
        <f>IFERROR(IF(Master!G9="", "", Master!G9), "")</f>
        <v/>
      </c>
      <c r="I9" s="9" t="str">
        <f>IFERROR(IF(Master!H9="", "", Master!H9), "")</f>
        <v/>
      </c>
      <c r="J9" s="9" t="str">
        <f>IFERROR(IF(Master!I9="", "", Master!I9), "")</f>
        <v/>
      </c>
      <c r="K9" s="9" t="str">
        <f>IFERROR(IF(Master!J9="", "", Master!J9), "")</f>
        <v/>
      </c>
      <c r="L9" s="9" t="str">
        <f>IFERROR(IF(Master!K9="", "", Master!K9), "")</f>
        <v/>
      </c>
      <c r="M9" s="9" t="str">
        <f>IFERROR(IF(Master!L9="", "", Master!L9), "")</f>
        <v/>
      </c>
      <c r="N9" s="9" t="str">
        <f>IFERROR(IF(Master!M9="", "", Master!M9), "")</f>
        <v/>
      </c>
      <c r="O9" s="9" t="str">
        <f>IFERROR(IF(Master!N9="", "", Master!N9), "")</f>
        <v/>
      </c>
      <c r="P9" s="9" t="str">
        <f>IFERROR(IF(Master!O9="", "", Master!O9), "")</f>
        <v/>
      </c>
      <c r="Q9" s="9" t="str">
        <f>IFERROR(IF(Master!P9="", "", Master!P9), "")</f>
        <v/>
      </c>
      <c r="R9" s="9" t="str">
        <f>IFERROR(IF(Master!Q9="", "", Master!Q9), "")</f>
        <v/>
      </c>
      <c r="S9" s="9" t="str">
        <f>IFERROR(IF(Master!R9="", "", Master!R9), "")</f>
        <v/>
      </c>
      <c r="T9" s="9" t="str">
        <f>IFERROR(IF(Master!S9="", "", Master!S9), "")</f>
        <v/>
      </c>
      <c r="U9" s="9" t="str">
        <f>IFERROR(IF(Master!T9="", "", Master!T9), "")</f>
        <v>Dicky</v>
      </c>
      <c r="V9" s="9" t="str">
        <f>IFERROR(IF(Master!U9="", "", Master!U9), "")</f>
        <v>Dicky</v>
      </c>
      <c r="W9" s="9" t="str">
        <f>IFERROR(IF(Master!V9="", "", Master!V9), "")</f>
        <v>Dicky</v>
      </c>
      <c r="X9" s="9" t="str">
        <f>IFERROR(IF(Master!W9="", "", Master!W9), "")</f>
        <v>Dicky</v>
      </c>
      <c r="Y9" s="9" t="str">
        <f>IFERROR(IF(Master!X9="", "", Master!X9), "")</f>
        <v>Dicky</v>
      </c>
      <c r="Z9" s="9" t="str">
        <f>IFERROR(IF(Master!Y9="", "", Master!Y9), "")</f>
        <v>Dicky</v>
      </c>
      <c r="AA9" s="9" t="str">
        <f>IFERROR(IF(Master!Z9="", "", Master!Z9), "")</f>
        <v>Dicky</v>
      </c>
      <c r="AB9" s="9" t="str">
        <f>IFERROR(IF(Master!AA9="", "", Master!AA9), "")</f>
        <v>A LAM</v>
      </c>
      <c r="AC9" s="9" t="str">
        <f>IFERROR(IF(Master!AB9="", "", Master!AB9), "")</f>
        <v>A LAM</v>
      </c>
      <c r="AD9" s="9" t="str">
        <f>IFERROR(IF(Master!AC9="", "", Master!AC9), "")</f>
        <v>A LAM</v>
      </c>
      <c r="AE9" s="9" t="str">
        <f>IFERROR(IF(Master!AD9="", "", Master!AD9), "")</f>
        <v>A LAM</v>
      </c>
      <c r="AF9" s="9" t="str">
        <f>IFERROR(IF(Master!AE9="", "", Master!AE9), "")</f>
        <v>A LAM</v>
      </c>
      <c r="AG9" s="9" t="str">
        <f>IFERROR(IF(Master!AF9="", "", Master!AF9), "")</f>
        <v>A LAM</v>
      </c>
    </row>
    <row r="10" spans="1:42">
      <c r="C10" s="9" t="str">
        <f>IFERROR(IF(Master!B10="", "", Master!B10), "")</f>
        <v/>
      </c>
      <c r="D10" s="9" t="str">
        <f>IFERROR(IF(Master!C10="", "", Master!C10), "")</f>
        <v/>
      </c>
      <c r="E10" s="9" t="str">
        <f>IFERROR(IF(Master!D10="", "", Master!D10), "")</f>
        <v/>
      </c>
      <c r="F10" s="9" t="str">
        <f>IFERROR(IF(Master!E10="", "", Master!E10), "")</f>
        <v/>
      </c>
      <c r="G10" s="9" t="str">
        <f>IFERROR(IF(Master!F10="", "", Master!F10), "")</f>
        <v/>
      </c>
      <c r="H10" s="9" t="str">
        <f>IFERROR(IF(Master!G10="", "", Master!G10), "")</f>
        <v/>
      </c>
      <c r="I10" s="9" t="str">
        <f>IFERROR(IF(Master!H10="", "", Master!H10), "")</f>
        <v/>
      </c>
      <c r="J10" s="9" t="str">
        <f>IFERROR(IF(Master!I10="", "", Master!I10), "")</f>
        <v/>
      </c>
      <c r="K10" s="9" t="str">
        <f>IFERROR(IF(Master!J10="", "", Master!J10), "")</f>
        <v/>
      </c>
      <c r="L10" s="9" t="str">
        <f>IFERROR(IF(Master!K10="", "", Master!K10), "")</f>
        <v/>
      </c>
      <c r="M10" s="9" t="str">
        <f>IFERROR(IF(Master!L10="", "", Master!L10), "")</f>
        <v/>
      </c>
      <c r="N10" s="9" t="str">
        <f>IFERROR(IF(Master!M10="", "", Master!M10), "")</f>
        <v/>
      </c>
      <c r="O10" s="9" t="str">
        <f>IFERROR(IF(Master!N10="", "", Master!N10), "")</f>
        <v/>
      </c>
      <c r="P10" s="9" t="str">
        <f>IFERROR(IF(Master!O10="", "", Master!O10), "")</f>
        <v/>
      </c>
      <c r="Q10" s="9" t="str">
        <f>IFERROR(IF(Master!P10="", "", Master!P10), "")</f>
        <v/>
      </c>
      <c r="R10" s="9" t="str">
        <f>IFERROR(IF(Master!Q10="", "", Master!Q10), "")</f>
        <v/>
      </c>
      <c r="S10" s="9" t="str">
        <f>IFERROR(IF(Master!R10="", "", Master!R10), "")</f>
        <v/>
      </c>
      <c r="T10" s="9" t="str">
        <f>IFERROR(IF(Master!S10="", "", Master!S10), "")</f>
        <v/>
      </c>
      <c r="U10" s="9" t="str">
        <f>IFERROR(IF(Master!T10="", "", Master!T10), "")</f>
        <v/>
      </c>
      <c r="V10" s="9" t="str">
        <f>IFERROR(IF(Master!U10="", "", Master!U10), "")</f>
        <v/>
      </c>
      <c r="W10" s="9" t="s">
        <v>119</v>
      </c>
      <c r="X10" s="9" t="s">
        <v>119</v>
      </c>
      <c r="Y10" s="9" t="s">
        <v>119</v>
      </c>
      <c r="Z10" s="9" t="s">
        <v>119</v>
      </c>
      <c r="AA10" s="9"/>
      <c r="AB10" s="9" t="str">
        <f>IFERROR(IF(Master!AA10="", "", Master!AA10), "")</f>
        <v/>
      </c>
      <c r="AC10" s="9" t="str">
        <f>IFERROR(IF(Master!AB10="", "", Master!AB10), "")</f>
        <v/>
      </c>
      <c r="AD10" s="9" t="str">
        <f>IFERROR(IF(Master!AC10="", "", Master!AC10), "")</f>
        <v/>
      </c>
      <c r="AE10" s="9" t="str">
        <f>IFERROR(IF(Master!AD10="", "", Master!AD10), "")</f>
        <v/>
      </c>
      <c r="AF10" s="9" t="str">
        <f>IFERROR(IF(Master!AE10="", "", Master!AE10), "")</f>
        <v/>
      </c>
      <c r="AG10" s="9" t="str">
        <f>IFERROR(IF(Master!AF10="", "", Master!AF10), "")</f>
        <v/>
      </c>
    </row>
    <row r="13" spans="1:42" s="41" customFormat="1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0</v>
      </c>
      <c r="E13" s="12">
        <f t="shared" si="1"/>
        <v>1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2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3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4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12">
        <f t="shared" si="1"/>
        <v>0</v>
      </c>
      <c r="AG13" s="12">
        <f t="shared" si="1"/>
        <v>5</v>
      </c>
      <c r="AI13" s="44"/>
      <c r="AJ13" s="43"/>
    </row>
    <row r="14" spans="1:42">
      <c r="A14" s="45"/>
      <c r="B14" s="45"/>
    </row>
    <row r="15" spans="1:42" ht="15.75" thickBot="1"/>
    <row r="16" spans="1:42" ht="19.5" customHeight="1" thickBot="1">
      <c r="A16" s="19"/>
      <c r="B16" s="81">
        <f>B1</f>
        <v>2026</v>
      </c>
      <c r="C16" s="72">
        <f t="shared" ref="C16:AG16" si="2">C3</f>
        <v>46023</v>
      </c>
      <c r="D16" s="72">
        <f t="shared" si="2"/>
        <v>46024</v>
      </c>
      <c r="E16" s="72">
        <f t="shared" si="2"/>
        <v>46025</v>
      </c>
      <c r="F16" s="72">
        <f t="shared" si="2"/>
        <v>46026</v>
      </c>
      <c r="G16" s="72">
        <f t="shared" si="2"/>
        <v>46027</v>
      </c>
      <c r="H16" s="72">
        <f t="shared" si="2"/>
        <v>46028</v>
      </c>
      <c r="I16" s="72">
        <f t="shared" si="2"/>
        <v>46029</v>
      </c>
      <c r="J16" s="72">
        <f t="shared" si="2"/>
        <v>46030</v>
      </c>
      <c r="K16" s="72">
        <f t="shared" si="2"/>
        <v>46031</v>
      </c>
      <c r="L16" s="72">
        <f t="shared" si="2"/>
        <v>46032</v>
      </c>
      <c r="M16" s="72">
        <f t="shared" si="2"/>
        <v>46033</v>
      </c>
      <c r="N16" s="72">
        <f t="shared" si="2"/>
        <v>46034</v>
      </c>
      <c r="O16" s="72">
        <f t="shared" si="2"/>
        <v>46035</v>
      </c>
      <c r="P16" s="72">
        <f t="shared" si="2"/>
        <v>46036</v>
      </c>
      <c r="Q16" s="72">
        <f t="shared" si="2"/>
        <v>46037</v>
      </c>
      <c r="R16" s="72">
        <f t="shared" si="2"/>
        <v>46038</v>
      </c>
      <c r="S16" s="72">
        <f t="shared" si="2"/>
        <v>46039</v>
      </c>
      <c r="T16" s="72">
        <f t="shared" si="2"/>
        <v>46040</v>
      </c>
      <c r="U16" s="72">
        <f t="shared" si="2"/>
        <v>46041</v>
      </c>
      <c r="V16" s="72">
        <f t="shared" si="2"/>
        <v>46042</v>
      </c>
      <c r="W16" s="72">
        <f t="shared" si="2"/>
        <v>46043</v>
      </c>
      <c r="X16" s="72">
        <f t="shared" si="2"/>
        <v>46044</v>
      </c>
      <c r="Y16" s="72">
        <f t="shared" si="2"/>
        <v>46045</v>
      </c>
      <c r="Z16" s="72">
        <f t="shared" si="2"/>
        <v>46046</v>
      </c>
      <c r="AA16" s="72">
        <f t="shared" si="2"/>
        <v>46047</v>
      </c>
      <c r="AB16" s="72">
        <f t="shared" si="2"/>
        <v>46048</v>
      </c>
      <c r="AC16" s="72">
        <f t="shared" si="2"/>
        <v>46049</v>
      </c>
      <c r="AD16" s="72">
        <f t="shared" si="2"/>
        <v>46050</v>
      </c>
      <c r="AE16" s="72">
        <f t="shared" si="2"/>
        <v>46051</v>
      </c>
      <c r="AF16" s="72">
        <f t="shared" si="2"/>
        <v>46052</v>
      </c>
      <c r="AG16" s="72">
        <f t="shared" si="2"/>
        <v>46053</v>
      </c>
      <c r="AK16" s="84" t="s">
        <v>50</v>
      </c>
      <c r="AL16" s="84" t="s">
        <v>138</v>
      </c>
      <c r="AM16" s="84" t="s">
        <v>139</v>
      </c>
      <c r="AN16" s="86" t="s">
        <v>124</v>
      </c>
      <c r="AO16" s="82" t="s">
        <v>147</v>
      </c>
      <c r="AP16" s="82" t="s">
        <v>148</v>
      </c>
    </row>
    <row r="17" spans="1:42" ht="15.75" thickBot="1">
      <c r="A17" s="20" t="s">
        <v>49</v>
      </c>
      <c r="B17" s="37" t="s">
        <v>50</v>
      </c>
      <c r="C17" s="38" t="str">
        <f>TEXT(C16,"ddd")</f>
        <v>Thu</v>
      </c>
      <c r="D17" s="39" t="str">
        <f t="shared" ref="D17:AG17" si="3">TEXT(D16,"ddd")</f>
        <v>Fri</v>
      </c>
      <c r="E17" s="39" t="str">
        <f t="shared" si="3"/>
        <v>Sat</v>
      </c>
      <c r="F17" s="39" t="str">
        <f t="shared" si="3"/>
        <v>Sun</v>
      </c>
      <c r="G17" s="39" t="str">
        <f t="shared" si="3"/>
        <v>Mon</v>
      </c>
      <c r="H17" s="39" t="str">
        <f t="shared" si="3"/>
        <v>Tue</v>
      </c>
      <c r="I17" s="39" t="str">
        <f t="shared" si="3"/>
        <v>Wed</v>
      </c>
      <c r="J17" s="39" t="str">
        <f t="shared" si="3"/>
        <v>Thu</v>
      </c>
      <c r="K17" s="39" t="str">
        <f t="shared" si="3"/>
        <v>Fri</v>
      </c>
      <c r="L17" s="39" t="str">
        <f t="shared" si="3"/>
        <v>Sat</v>
      </c>
      <c r="M17" s="39" t="str">
        <f t="shared" si="3"/>
        <v>Sun</v>
      </c>
      <c r="N17" s="39" t="str">
        <f t="shared" si="3"/>
        <v>Mon</v>
      </c>
      <c r="O17" s="39" t="str">
        <f t="shared" si="3"/>
        <v>Tue</v>
      </c>
      <c r="P17" s="39" t="str">
        <f t="shared" si="3"/>
        <v>Wed</v>
      </c>
      <c r="Q17" s="39" t="str">
        <f t="shared" si="3"/>
        <v>Thu</v>
      </c>
      <c r="R17" s="39" t="str">
        <f t="shared" si="3"/>
        <v>Fri</v>
      </c>
      <c r="S17" s="39" t="str">
        <f t="shared" si="3"/>
        <v>Sat</v>
      </c>
      <c r="T17" s="39" t="str">
        <f t="shared" si="3"/>
        <v>Sun</v>
      </c>
      <c r="U17" s="39" t="str">
        <f t="shared" si="3"/>
        <v>Mon</v>
      </c>
      <c r="V17" s="39" t="str">
        <f t="shared" si="3"/>
        <v>Tue</v>
      </c>
      <c r="W17" s="39" t="str">
        <f t="shared" si="3"/>
        <v>Wed</v>
      </c>
      <c r="X17" s="39" t="str">
        <f t="shared" si="3"/>
        <v>Thu</v>
      </c>
      <c r="Y17" s="39" t="str">
        <f t="shared" si="3"/>
        <v>Fri</v>
      </c>
      <c r="Z17" s="39" t="str">
        <f t="shared" si="3"/>
        <v>Sat</v>
      </c>
      <c r="AA17" s="39" t="str">
        <f t="shared" si="3"/>
        <v>Sun</v>
      </c>
      <c r="AB17" s="39" t="str">
        <f t="shared" si="3"/>
        <v>Mon</v>
      </c>
      <c r="AC17" s="39" t="str">
        <f t="shared" si="3"/>
        <v>Tue</v>
      </c>
      <c r="AD17" s="39" t="str">
        <f t="shared" si="3"/>
        <v>Wed</v>
      </c>
      <c r="AE17" s="39" t="str">
        <f t="shared" si="3"/>
        <v>Thu</v>
      </c>
      <c r="AF17" s="39" t="str">
        <f t="shared" si="3"/>
        <v>Fri</v>
      </c>
      <c r="AG17" s="39" t="str">
        <f t="shared" si="3"/>
        <v>Sat</v>
      </c>
      <c r="AK17" s="85"/>
      <c r="AL17" s="85"/>
      <c r="AM17" s="85"/>
      <c r="AN17" s="87"/>
      <c r="AO17" s="83"/>
      <c r="AP17" s="83"/>
    </row>
    <row r="18" spans="1:42" ht="25.5" customHeight="1" thickBot="1">
      <c r="A18" s="21" t="s">
        <v>51</v>
      </c>
      <c r="B18" s="22" t="s">
        <v>149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PH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HD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DO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HD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DO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HD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DO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HD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DO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HD</v>
      </c>
      <c r="AK18" s="11" t="s">
        <v>118</v>
      </c>
      <c r="AL18" s="65">
        <f>SUMPRODUCT((C18:AG18="D")*8) + SUMPRODUCT((C18:AG18="E")*8) + SUMPRODUCT((C18:AG18="HD")*4)</f>
        <v>188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188</v>
      </c>
      <c r="AO18" s="67">
        <f>AN18-$AN$18</f>
        <v>0</v>
      </c>
      <c r="AP18" s="67">
        <f>AO18</f>
        <v>0</v>
      </c>
    </row>
    <row r="19" spans="1:42" ht="25.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PH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DO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DO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DO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DO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DO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DO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DO</v>
      </c>
      <c r="AK19" s="11" t="s">
        <v>21</v>
      </c>
      <c r="AL19" s="65">
        <f t="shared" ref="AL19:AL26" si="4">SUMPRODUCT((C19:AG19="D")*8) + SUMPRODUCT((C19:AG19="E")*8) + SUMPRODUCT((C19:AG19="HD")*4)</f>
        <v>184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184</v>
      </c>
      <c r="AO19" s="67">
        <f t="shared" ref="AO19:AO31" si="6">AN19-$AN$18</f>
        <v>-4</v>
      </c>
      <c r="AP19" s="67">
        <f t="shared" ref="AP19:AP31" si="7">AO19</f>
        <v>-4</v>
      </c>
    </row>
    <row r="20" spans="1:42" ht="25.5" customHeight="1" thickBot="1">
      <c r="A20" s="24" t="s">
        <v>55</v>
      </c>
      <c r="B20" s="22" t="s">
        <v>150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PH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HD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DO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HD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DO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HD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DO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AL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AL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AL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HDAL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DO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HD</v>
      </c>
      <c r="AK20" s="11" t="s">
        <v>119</v>
      </c>
      <c r="AL20" s="65">
        <f t="shared" si="4"/>
        <v>160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28</v>
      </c>
      <c r="AN20" s="68">
        <f t="shared" si="5"/>
        <v>188</v>
      </c>
      <c r="AO20" s="67">
        <f t="shared" si="6"/>
        <v>0</v>
      </c>
      <c r="AP20" s="67">
        <f t="shared" si="7"/>
        <v>0</v>
      </c>
    </row>
    <row r="21" spans="1:42" ht="25.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PH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DO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DO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E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E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E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DO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DO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DO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AL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AL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AL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AL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AL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DO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DO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E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E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E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E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E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D</v>
      </c>
      <c r="AK21" s="11" t="s">
        <v>24</v>
      </c>
      <c r="AL21" s="65">
        <f t="shared" si="4"/>
        <v>144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40</v>
      </c>
      <c r="AN21" s="68">
        <f t="shared" si="5"/>
        <v>184</v>
      </c>
      <c r="AO21" s="67">
        <f t="shared" si="6"/>
        <v>-4</v>
      </c>
      <c r="AP21" s="67">
        <f t="shared" si="7"/>
        <v>-4</v>
      </c>
    </row>
    <row r="22" spans="1:42" ht="25.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PH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DO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DO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E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DO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DO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DO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E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E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E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E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E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DO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D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D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D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D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D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DO</v>
      </c>
      <c r="AK22" s="11" t="s">
        <v>22</v>
      </c>
      <c r="AL22" s="65">
        <f t="shared" si="4"/>
        <v>184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184</v>
      </c>
      <c r="AO22" s="67">
        <f t="shared" si="6"/>
        <v>-4</v>
      </c>
      <c r="AP22" s="67">
        <f t="shared" si="7"/>
        <v>-4</v>
      </c>
    </row>
    <row r="23" spans="1:42" ht="25.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PH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D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DO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DO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E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E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E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E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E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DO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DO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E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DO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AL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AL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AL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AL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AL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DO</v>
      </c>
      <c r="AK23" s="11" t="s">
        <v>23</v>
      </c>
      <c r="AL23" s="65">
        <f t="shared" si="4"/>
        <v>152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40</v>
      </c>
      <c r="AN23" s="68">
        <f t="shared" si="5"/>
        <v>192</v>
      </c>
      <c r="AO23" s="67">
        <f t="shared" si="6"/>
        <v>4</v>
      </c>
      <c r="AP23" s="67">
        <f t="shared" si="7"/>
        <v>4</v>
      </c>
    </row>
    <row r="24" spans="1:42" ht="25.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PH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DO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DO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E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E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E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E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DO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DO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D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DO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DO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E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D</v>
      </c>
      <c r="AK24" s="11" t="s">
        <v>25</v>
      </c>
      <c r="AL24" s="65">
        <f t="shared" si="4"/>
        <v>192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192</v>
      </c>
      <c r="AO24" s="67">
        <f t="shared" si="6"/>
        <v>4</v>
      </c>
      <c r="AP24" s="67">
        <f t="shared" si="7"/>
        <v>4</v>
      </c>
    </row>
    <row r="25" spans="1:42" ht="25.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PH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E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DO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E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E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E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E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DO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DO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DO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E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E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E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E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E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DO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DO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E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E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E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E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E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DO</v>
      </c>
      <c r="AK25" s="11" t="s">
        <v>27</v>
      </c>
      <c r="AL25" s="65">
        <f t="shared" si="4"/>
        <v>184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184</v>
      </c>
      <c r="AO25" s="67">
        <f t="shared" si="6"/>
        <v>-4</v>
      </c>
      <c r="AP25" s="67">
        <f t="shared" si="7"/>
        <v>-4</v>
      </c>
    </row>
    <row r="26" spans="1:42" ht="25.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PH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E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DO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DO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DO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E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E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E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DO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DO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DO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D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</v>
      </c>
      <c r="AK26" s="11" t="s">
        <v>26</v>
      </c>
      <c r="AL26" s="65">
        <f t="shared" si="4"/>
        <v>192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192</v>
      </c>
      <c r="AO26" s="67">
        <f t="shared" si="6"/>
        <v>4</v>
      </c>
      <c r="AP26" s="67">
        <f t="shared" si="7"/>
        <v>4</v>
      </c>
    </row>
    <row r="27" spans="1:42" ht="25.5" customHeight="1" thickBot="1">
      <c r="A27" s="23" t="s">
        <v>63</v>
      </c>
      <c r="B27" s="22" t="s">
        <v>153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PH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HD2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DO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DO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DO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HD2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DO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B6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DO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DO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HD2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/>
    </row>
    <row r="28" spans="1:42" ht="25.5" customHeight="1" thickBot="1">
      <c r="A28" s="23" t="s">
        <v>65</v>
      </c>
      <c r="B28" s="22" t="s">
        <v>152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PH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DO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DO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HD2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DO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DO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DO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D1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HD2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DO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DO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/>
    </row>
    <row r="29" spans="1:42" ht="25.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/>
    </row>
    <row r="30" spans="1:42" ht="25.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/>
    </row>
    <row r="31" spans="1:42" ht="25.5" customHeight="1" thickBot="1">
      <c r="A31" s="27" t="s">
        <v>70</v>
      </c>
      <c r="B31" s="22" t="s">
        <v>151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PH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HD1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DO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HD1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DO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HD1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DO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HD1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DO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HD1</v>
      </c>
      <c r="AK31" s="11" t="s">
        <v>136</v>
      </c>
      <c r="AL31" s="11">
        <f>SUMPRODUCT((C31:AG31="D")*8) + SUMPRODUCT((C31:AG31="E")*8) + SUMPRODUCT((C31:AG31="HD1")*4)</f>
        <v>188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188</v>
      </c>
      <c r="AO31" s="67">
        <f t="shared" si="6"/>
        <v>0</v>
      </c>
      <c r="AP31" s="67">
        <f t="shared" si="7"/>
        <v>0</v>
      </c>
    </row>
    <row r="32" spans="1:42">
      <c r="A32" s="28"/>
      <c r="B32" s="28"/>
      <c r="C32" s="28" t="s">
        <v>126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127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128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129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130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131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132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133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134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80"/>
      <c r="B41" s="28"/>
      <c r="C41" s="28" t="s">
        <v>135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K16:AK17"/>
    <mergeCell ref="AP16:AP17"/>
    <mergeCell ref="AN16:AN17"/>
    <mergeCell ref="AO16:AO17"/>
    <mergeCell ref="AL16:AL17"/>
    <mergeCell ref="AM16:AM17"/>
  </mergeCells>
  <phoneticPr fontId="3" type="noConversion"/>
  <conditionalFormatting sqref="C3:AG10">
    <cfRule type="expression" dxfId="227" priority="34">
      <formula>WEEKDAY(C3,2)=7</formula>
    </cfRule>
  </conditionalFormatting>
  <conditionalFormatting sqref="C4:AG4">
    <cfRule type="expression" dxfId="226" priority="31">
      <formula>C4="Sun"</formula>
    </cfRule>
  </conditionalFormatting>
  <conditionalFormatting sqref="C5:AG10">
    <cfRule type="expression" dxfId="225" priority="30">
      <formula>C$4="Sun"</formula>
    </cfRule>
  </conditionalFormatting>
  <conditionalFormatting sqref="C17:AG17">
    <cfRule type="expression" dxfId="222" priority="11">
      <formula>C$17="sun"</formula>
    </cfRule>
    <cfRule type="expression" dxfId="221" priority="12">
      <formula>C$17="sat"</formula>
    </cfRule>
  </conditionalFormatting>
  <conditionalFormatting sqref="C18:AG31">
    <cfRule type="expression" dxfId="220" priority="1">
      <formula>C18="HDAL"</formula>
    </cfRule>
    <cfRule type="expression" dxfId="219" priority="6">
      <formula>C18="PH"</formula>
    </cfRule>
    <cfRule type="expression" dxfId="218" priority="60">
      <formula>C18="AL"</formula>
    </cfRule>
    <cfRule type="expression" dxfId="216" priority="62">
      <formula>C18="DO"</formula>
    </cfRule>
  </conditionalFormatting>
  <conditionalFormatting sqref="AO18:AP31">
    <cfRule type="expression" dxfId="215" priority="4">
      <formula>AO18&gt;0</formula>
    </cfRule>
    <cfRule type="expression" dxfId="214" priority="5">
      <formula>AO18&lt;0</formula>
    </cfRule>
  </conditionalFormatting>
  <pageMargins left="0.25" right="0.25" top="0.75" bottom="0.75" header="0.3" footer="0.3"/>
  <pageSetup paperSize="8" scale="56" fitToHeight="0" orientation="landscape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A24D3979-6EA1-4FC5-AE70-AF29AE219863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3" id="{19E3EA86-E8CB-4AEF-A21A-D923298C8D83}">
            <xm:f>COUNTIF(PH!$A:$A, C3)&gt;0</xm:f>
            <x14:dxf>
              <font>
                <color rgb="FFFF0000"/>
              </font>
            </x14:dxf>
          </x14:cfRule>
          <xm:sqref>C3:AG10</xm:sqref>
        </x14:conditionalFormatting>
        <x14:conditionalFormatting xmlns:xm="http://schemas.microsoft.com/office/excel/2006/main">
          <x14:cfRule type="expression" priority="2" id="{CF02ACC9-2128-4EF0-BE97-811433E64CBA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3" id="{1694E09E-F2F9-4293-9D2C-74B140D6DE35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61" id="{30FA1E30-4441-4FD7-B122-4DBE986FF00D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3B4EC8-53A7-4081-8D4B-F26723339034}">
          <x14:formula1>
            <xm:f>'On call stat'!$T$3:$T$14</xm:f>
          </x14:formula1>
          <xm:sqref>C5:AG10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EB11-2E37-4913-9294-254060EBA216}">
  <sheetPr codeName="Sheet3"/>
  <dimension ref="A1:AP48"/>
  <sheetViews>
    <sheetView topLeftCell="A12" zoomScale="70" zoomScaleNormal="70" workbookViewId="0">
      <selection activeCell="D28" sqref="D28"/>
    </sheetView>
  </sheetViews>
  <sheetFormatPr defaultRowHeight="15"/>
  <cols>
    <col min="2" max="2" width="31.42578125" customWidth="1"/>
    <col min="33" max="33" width="9.140625" style="42"/>
    <col min="34" max="36" width="0" style="42" hidden="1" customWidth="1"/>
    <col min="40" max="40" width="12.42578125" customWidth="1"/>
    <col min="42" max="42" width="12.570312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IFERROR(IF(Master!B12="", "", Master!B12), "")</f>
        <v>46054</v>
      </c>
      <c r="D3" s="9">
        <f>IFERROR(IF(Master!C12="", "", Master!C12), "")</f>
        <v>46055</v>
      </c>
      <c r="E3" s="9">
        <f>IFERROR(IF(Master!D12="", "", Master!D12), "")</f>
        <v>46056</v>
      </c>
      <c r="F3" s="9">
        <f>IFERROR(IF(Master!E12="", "", Master!E12), "")</f>
        <v>46057</v>
      </c>
      <c r="G3" s="9">
        <f>IFERROR(IF(Master!F12="", "", Master!F12), "")</f>
        <v>46058</v>
      </c>
      <c r="H3" s="9">
        <f>IFERROR(IF(Master!G12="", "", Master!G12), "")</f>
        <v>46059</v>
      </c>
      <c r="I3" s="9">
        <f>IFERROR(IF(Master!H12="", "", Master!H12), "")</f>
        <v>46060</v>
      </c>
      <c r="J3" s="9">
        <f>IFERROR(IF(Master!I12="", "", Master!I12), "")</f>
        <v>46061</v>
      </c>
      <c r="K3" s="9">
        <f>IFERROR(IF(Master!J12="", "", Master!J12), "")</f>
        <v>46062</v>
      </c>
      <c r="L3" s="9">
        <f>IFERROR(IF(Master!K12="", "", Master!K12), "")</f>
        <v>46063</v>
      </c>
      <c r="M3" s="9">
        <f>IFERROR(IF(Master!L12="", "", Master!L12), "")</f>
        <v>46064</v>
      </c>
      <c r="N3" s="9">
        <f>IFERROR(IF(Master!M12="", "", Master!M12), "")</f>
        <v>46065</v>
      </c>
      <c r="O3" s="9">
        <f>IFERROR(IF(Master!N12="", "", Master!N12), "")</f>
        <v>46066</v>
      </c>
      <c r="P3" s="9">
        <f>IFERROR(IF(Master!O12="", "", Master!O12), "")</f>
        <v>46067</v>
      </c>
      <c r="Q3" s="9">
        <f>IFERROR(IF(Master!P12="", "", Master!P12), "")</f>
        <v>46068</v>
      </c>
      <c r="R3" s="9">
        <f>IFERROR(IF(Master!Q12="", "", Master!Q12), "")</f>
        <v>46069</v>
      </c>
      <c r="S3" s="9">
        <f>IFERROR(IF(Master!R12="", "", Master!R12), "")</f>
        <v>46070</v>
      </c>
      <c r="T3" s="9">
        <f>IFERROR(IF(Master!S12="", "", Master!S12), "")</f>
        <v>46071</v>
      </c>
      <c r="U3" s="9">
        <f>IFERROR(IF(Master!T12="", "", Master!T12), "")</f>
        <v>46072</v>
      </c>
      <c r="V3" s="9">
        <f>IFERROR(IF(Master!U12="", "", Master!U12), "")</f>
        <v>46073</v>
      </c>
      <c r="W3" s="9">
        <f>IFERROR(IF(Master!V12="", "", Master!V12), "")</f>
        <v>46074</v>
      </c>
      <c r="X3" s="9">
        <f>IFERROR(IF(Master!W12="", "", Master!W12), "")</f>
        <v>46075</v>
      </c>
      <c r="Y3" s="9">
        <f>IFERROR(IF(Master!X12="", "", Master!X12), "")</f>
        <v>46076</v>
      </c>
      <c r="Z3" s="9">
        <f>IFERROR(IF(Master!Y12="", "", Master!Y12), "")</f>
        <v>46077</v>
      </c>
      <c r="AA3" s="9">
        <f>IFERROR(IF(Master!Z12="", "", Master!Z12), "")</f>
        <v>46078</v>
      </c>
      <c r="AB3" s="9">
        <f>IFERROR(IF(Master!AA12="", "", Master!AA12), "")</f>
        <v>46079</v>
      </c>
      <c r="AC3" s="9">
        <f>IFERROR(IF(Master!AB12="", "", Master!AB12), "")</f>
        <v>46080</v>
      </c>
      <c r="AD3" s="9">
        <f>IFERROR(IF(Master!AC12="", "", Master!AC12), "")</f>
        <v>46081</v>
      </c>
      <c r="AE3" s="1"/>
    </row>
    <row r="4" spans="1:42">
      <c r="C4" s="13" t="str">
        <f t="shared" ref="C4:AD4" si="0">TEXT(C3,"ddd")</f>
        <v>Sun</v>
      </c>
      <c r="D4" s="13" t="str">
        <f t="shared" si="0"/>
        <v>Mon</v>
      </c>
      <c r="E4" s="13" t="str">
        <f t="shared" si="0"/>
        <v>Tue</v>
      </c>
      <c r="F4" s="13" t="str">
        <f t="shared" si="0"/>
        <v>Wed</v>
      </c>
      <c r="G4" s="13" t="str">
        <f t="shared" si="0"/>
        <v>Thu</v>
      </c>
      <c r="H4" s="13" t="str">
        <f t="shared" si="0"/>
        <v>Fri</v>
      </c>
      <c r="I4" s="13" t="str">
        <f t="shared" si="0"/>
        <v>Sat</v>
      </c>
      <c r="J4" s="13" t="str">
        <f t="shared" si="0"/>
        <v>Sun</v>
      </c>
      <c r="K4" s="13" t="str">
        <f t="shared" si="0"/>
        <v>Mon</v>
      </c>
      <c r="L4" s="13" t="str">
        <f t="shared" si="0"/>
        <v>Tue</v>
      </c>
      <c r="M4" s="13" t="str">
        <f t="shared" si="0"/>
        <v>Wed</v>
      </c>
      <c r="N4" s="13" t="str">
        <f t="shared" si="0"/>
        <v>Thu</v>
      </c>
      <c r="O4" s="13" t="str">
        <f t="shared" si="0"/>
        <v>Fri</v>
      </c>
      <c r="P4" s="13" t="str">
        <f t="shared" si="0"/>
        <v>Sat</v>
      </c>
      <c r="Q4" s="13" t="str">
        <f t="shared" si="0"/>
        <v>Sun</v>
      </c>
      <c r="R4" s="13" t="str">
        <f t="shared" si="0"/>
        <v>Mon</v>
      </c>
      <c r="S4" s="13" t="str">
        <f t="shared" si="0"/>
        <v>Tue</v>
      </c>
      <c r="T4" s="13" t="str">
        <f t="shared" si="0"/>
        <v>Wed</v>
      </c>
      <c r="U4" s="13" t="str">
        <f t="shared" si="0"/>
        <v>Thu</v>
      </c>
      <c r="V4" s="13" t="str">
        <f t="shared" si="0"/>
        <v>Fri</v>
      </c>
      <c r="W4" s="13" t="str">
        <f t="shared" si="0"/>
        <v>Sat</v>
      </c>
      <c r="X4" s="13" t="str">
        <f t="shared" si="0"/>
        <v>Sun</v>
      </c>
      <c r="Y4" s="13" t="str">
        <f t="shared" si="0"/>
        <v>Mon</v>
      </c>
      <c r="Z4" s="13" t="str">
        <f t="shared" si="0"/>
        <v>Tue</v>
      </c>
      <c r="AA4" s="13" t="str">
        <f t="shared" si="0"/>
        <v>Wed</v>
      </c>
      <c r="AB4" s="13" t="str">
        <f t="shared" si="0"/>
        <v>Thu</v>
      </c>
      <c r="AC4" s="13" t="str">
        <f t="shared" si="0"/>
        <v>Fri</v>
      </c>
      <c r="AD4" s="13" t="str">
        <f t="shared" si="0"/>
        <v>Sat</v>
      </c>
      <c r="AE4" s="1"/>
    </row>
    <row r="5" spans="1:42">
      <c r="C5" s="11" t="str">
        <f>IFERROR(IF(Master!B14="", "", Master!B14), "")</f>
        <v>Dicky</v>
      </c>
      <c r="D5" s="11" t="str">
        <f>IFERROR(IF(Master!C14="", "", Master!C14), "")</f>
        <v>Amy</v>
      </c>
      <c r="E5" s="11" t="str">
        <f>IFERROR(IF(Master!D14="", "", Master!D14), "")</f>
        <v>Amy</v>
      </c>
      <c r="F5" s="11" t="str">
        <f>IFERROR(IF(Master!E14="", "", Master!E14), "")</f>
        <v>Amy</v>
      </c>
      <c r="G5" s="11" t="str">
        <f>IFERROR(IF(Master!F14="", "", Master!F14), "")</f>
        <v>Amy</v>
      </c>
      <c r="H5" s="11" t="str">
        <f>IFERROR(IF(Master!G14="", "", Master!G14), "")</f>
        <v>Amy</v>
      </c>
      <c r="I5" s="11" t="str">
        <f>IFERROR(IF(Master!H14="", "", Master!H14), "")</f>
        <v>Amy</v>
      </c>
      <c r="J5" s="11" t="str">
        <f>IFERROR(IF(Master!I14="", "", Master!I14), "")</f>
        <v>Amy</v>
      </c>
      <c r="K5" s="11" t="str">
        <f>IFERROR(IF(Master!J14="", "", Master!J14), "")</f>
        <v>Dicky</v>
      </c>
      <c r="L5" s="11" t="str">
        <f>IFERROR(IF(Master!K14="", "", Master!K14), "")</f>
        <v>Dicky</v>
      </c>
      <c r="M5" s="11" t="str">
        <f>IFERROR(IF(Master!L14="", "", Master!L14), "")</f>
        <v>Dicky</v>
      </c>
      <c r="N5" s="11" t="str">
        <f>IFERROR(IF(Master!M14="", "", Master!M14), "")</f>
        <v>Dicky</v>
      </c>
      <c r="O5" s="11" t="str">
        <f>IFERROR(IF(Master!N14="", "", Master!N14), "")</f>
        <v>Dicky</v>
      </c>
      <c r="P5" s="11" t="str">
        <f>IFERROR(IF(Master!O14="", "", Master!O14), "")</f>
        <v>Dicky</v>
      </c>
      <c r="Q5" s="11" t="str">
        <f>IFERROR(IF(Master!P14="", "", Master!P14), "")</f>
        <v>Dicky</v>
      </c>
      <c r="R5" s="11" t="str">
        <f>IFERROR(IF(Master!Q14="", "", Master!Q14), "")</f>
        <v>Amy</v>
      </c>
      <c r="S5" s="11" t="str">
        <f>IFERROR(IF(Master!R14="", "", Master!R14), "")</f>
        <v>Amy</v>
      </c>
      <c r="T5" s="11" t="str">
        <f>IFERROR(IF(Master!S14="", "", Master!S14), "")</f>
        <v>Dicky</v>
      </c>
      <c r="U5" s="11" t="str">
        <f>IFERROR(IF(Master!T14="", "", Master!T14), "")</f>
        <v>Dicky</v>
      </c>
      <c r="V5" s="11" t="str">
        <f>IFERROR(IF(Master!U14="", "", Master!U14), "")</f>
        <v>Dicky</v>
      </c>
      <c r="W5" s="11" t="str">
        <f>IFERROR(IF(Master!V14="", "", Master!V14), "")</f>
        <v>Dicky</v>
      </c>
      <c r="X5" s="11" t="str">
        <f>IFERROR(IF(Master!W14="", "", Master!W14), "")</f>
        <v>Dicky</v>
      </c>
      <c r="Y5" s="11" t="str">
        <f>IFERROR(IF(Master!X14="", "", Master!X14), "")</f>
        <v>Dicky</v>
      </c>
      <c r="Z5" s="11" t="str">
        <f>IFERROR(IF(Master!Y14="", "", Master!Y14), "")</f>
        <v>Dicky</v>
      </c>
      <c r="AA5" s="11" t="str">
        <f>IFERROR(IF(Master!Z14="", "", Master!Z14), "")</f>
        <v>Dicky</v>
      </c>
      <c r="AB5" s="11" t="str">
        <f>IFERROR(IF(Master!AA14="", "", Master!AA14), "")</f>
        <v>Dicky</v>
      </c>
      <c r="AC5" s="11" t="str">
        <f>IFERROR(IF(Master!AB14="", "", Master!AB14), "")</f>
        <v>Dicky</v>
      </c>
      <c r="AD5" s="11" t="str">
        <f>IFERROR(IF(Master!AC14="", "", Master!AC14), "")</f>
        <v>Melody</v>
      </c>
      <c r="AE5" s="1"/>
    </row>
    <row r="6" spans="1:42">
      <c r="C6" s="11" t="str">
        <f>IFERROR(IF(Master!B15="", "", Master!B15), "")</f>
        <v>Ka Po</v>
      </c>
      <c r="D6" s="11" t="str">
        <f>IFERROR(IF(Master!C15="", "", Master!C15), "")</f>
        <v>Ka Po</v>
      </c>
      <c r="E6" s="11" t="str">
        <f>IFERROR(IF(Master!D15="", "", Master!D15), "")</f>
        <v>Ka Po</v>
      </c>
      <c r="F6" s="11" t="str">
        <f>IFERROR(IF(Master!E15="", "", Master!E15), "")</f>
        <v>Ka Po</v>
      </c>
      <c r="G6" s="11" t="str">
        <f>IFERROR(IF(Master!F15="", "", Master!F15), "")</f>
        <v>Ka Po</v>
      </c>
      <c r="H6" s="11" t="str">
        <f>IFERROR(IF(Master!G15="", "", Master!G15), "")</f>
        <v>Ka Po</v>
      </c>
      <c r="I6" s="11" t="str">
        <f>IFERROR(IF(Master!H15="", "", Master!H15), "")</f>
        <v>Ka Po</v>
      </c>
      <c r="J6" s="11" t="str">
        <f>IFERROR(IF(Master!I15="", "", Master!I15), "")</f>
        <v>Ka Po</v>
      </c>
      <c r="K6" s="11" t="str">
        <f>IFERROR(IF(Master!J15="", "", Master!J15), "")</f>
        <v>A Lam</v>
      </c>
      <c r="L6" s="11" t="str">
        <f>IFERROR(IF(Master!K15="", "", Master!K15), "")</f>
        <v>A Lam</v>
      </c>
      <c r="M6" s="11" t="str">
        <f>IFERROR(IF(Master!L15="", "", Master!L15), "")</f>
        <v>A Lam</v>
      </c>
      <c r="N6" s="11" t="str">
        <f>IFERROR(IF(Master!M15="", "", Master!M15), "")</f>
        <v>A Lam</v>
      </c>
      <c r="O6" s="11" t="str">
        <f>IFERROR(IF(Master!N15="", "", Master!N15), "")</f>
        <v>A Lam</v>
      </c>
      <c r="P6" s="11" t="str">
        <f>IFERROR(IF(Master!O15="", "", Master!O15), "")</f>
        <v>A Lam</v>
      </c>
      <c r="Q6" s="11" t="str">
        <f>IFERROR(IF(Master!P15="", "", Master!P15), "")</f>
        <v>A Lam</v>
      </c>
      <c r="R6" s="11" t="str">
        <f>IFERROR(IF(Master!Q15="", "", Master!Q15), "")</f>
        <v>Katrina</v>
      </c>
      <c r="S6" s="11" t="str">
        <f>IFERROR(IF(Master!R15="", "", Master!R15), "")</f>
        <v>Katrina</v>
      </c>
      <c r="T6" s="11" t="str">
        <f>IFERROR(IF(Master!S15="", "", Master!S15), "")</f>
        <v>Katrina</v>
      </c>
      <c r="U6" s="11" t="str">
        <f>IFERROR(IF(Master!T15="", "", Master!T15), "")</f>
        <v>Katrina</v>
      </c>
      <c r="V6" s="11" t="str">
        <f>IFERROR(IF(Master!U15="", "", Master!U15), "")</f>
        <v>Katrina</v>
      </c>
      <c r="W6" s="11" t="str">
        <f>IFERROR(IF(Master!V15="", "", Master!V15), "")</f>
        <v>Katrina</v>
      </c>
      <c r="X6" s="11" t="str">
        <f>IFERROR(IF(Master!W15="", "", Master!W15), "")</f>
        <v>Katrina</v>
      </c>
      <c r="Y6" s="11" t="str">
        <f>IFERROR(IF(Master!X15="", "", Master!X15), "")</f>
        <v>Katrina</v>
      </c>
      <c r="Z6" s="11" t="str">
        <f>IFERROR(IF(Master!Y15="", "", Master!Y15), "")</f>
        <v>Katrina</v>
      </c>
      <c r="AA6" s="11" t="str">
        <f>IFERROR(IF(Master!Z15="", "", Master!Z15), "")</f>
        <v>Katrina</v>
      </c>
      <c r="AB6" s="11" t="str">
        <f>IFERROR(IF(Master!AA15="", "", Master!AA15), "")</f>
        <v>Katrina</v>
      </c>
      <c r="AC6" s="11" t="str">
        <f>IFERROR(IF(Master!AB15="", "", Master!AB15), "")</f>
        <v>Katrina</v>
      </c>
      <c r="AD6" s="11" t="str">
        <f>IFERROR(IF(Master!AC15="", "", Master!AC15), "")</f>
        <v>Katrina</v>
      </c>
      <c r="AE6" s="1"/>
    </row>
    <row r="7" spans="1:42">
      <c r="C7" s="11" t="str">
        <f>IFERROR(IF(Master!B16="", "", Master!B16), "")</f>
        <v>Katrina</v>
      </c>
      <c r="D7" s="11" t="str">
        <f>IFERROR(IF(Master!C16="", "", Master!C16), "")</f>
        <v>Katrina</v>
      </c>
      <c r="E7" s="11" t="str">
        <f>IFERROR(IF(Master!D16="", "", Master!D16), "")</f>
        <v>Katrina</v>
      </c>
      <c r="F7" s="11" t="str">
        <f>IFERROR(IF(Master!E16="", "", Master!E16), "")</f>
        <v>Katrina</v>
      </c>
      <c r="G7" s="11" t="str">
        <f>IFERROR(IF(Master!F16="", "", Master!F16), "")</f>
        <v>Katrina</v>
      </c>
      <c r="H7" s="11" t="str">
        <f>IFERROR(IF(Master!G16="", "", Master!G16), "")</f>
        <v>Katrina</v>
      </c>
      <c r="I7" s="11" t="str">
        <f>IFERROR(IF(Master!H16="", "", Master!H16), "")</f>
        <v>Melody</v>
      </c>
      <c r="J7" s="11" t="str">
        <f>IFERROR(IF(Master!I16="", "", Master!I16), "")</f>
        <v>Melody</v>
      </c>
      <c r="K7" s="11" t="str">
        <f>IFERROR(IF(Master!J16="", "", Master!J16), "")</f>
        <v>Melody</v>
      </c>
      <c r="L7" s="11" t="str">
        <f>IFERROR(IF(Master!K16="", "", Master!K16), "")</f>
        <v>Melody</v>
      </c>
      <c r="M7" s="11" t="str">
        <f>IFERROR(IF(Master!L16="", "", Master!L16), "")</f>
        <v>Melody</v>
      </c>
      <c r="N7" s="11" t="str">
        <f>IFERROR(IF(Master!M16="", "", Master!M16), "")</f>
        <v>Melody</v>
      </c>
      <c r="O7" s="11" t="str">
        <f>IFERROR(IF(Master!N16="", "", Master!N16), "")</f>
        <v>Melody</v>
      </c>
      <c r="P7" s="11" t="str">
        <f>IFERROR(IF(Master!O16="", "", Master!O16), "")</f>
        <v>Melody</v>
      </c>
      <c r="Q7" s="11" t="str">
        <f>IFERROR(IF(Master!P16="", "", Master!P16), "")</f>
        <v>Melody</v>
      </c>
      <c r="R7" s="11" t="str">
        <f>IFERROR(IF(Master!Q16="", "", Master!Q16), "")</f>
        <v>Ka Po</v>
      </c>
      <c r="S7" s="11" t="str">
        <f>IFERROR(IF(Master!R16="", "", Master!R16), "")</f>
        <v>Ka Po</v>
      </c>
      <c r="T7" s="11" t="str">
        <f>IFERROR(IF(Master!S16="", "", Master!S16), "")</f>
        <v>Ka Po</v>
      </c>
      <c r="U7" s="11" t="str">
        <f>IFERROR(IF(Master!T16="", "", Master!T16), "")</f>
        <v>Ka Po</v>
      </c>
      <c r="V7" s="11" t="str">
        <f>IFERROR(IF(Master!U16="", "", Master!U16), "")</f>
        <v>Ka Po</v>
      </c>
      <c r="W7" s="11" t="str">
        <f>IFERROR(IF(Master!V16="", "", Master!V16), "")</f>
        <v>Ka Po</v>
      </c>
      <c r="X7" s="11" t="str">
        <f>IFERROR(IF(Master!W16="", "", Master!W16), "")</f>
        <v>Ka Po</v>
      </c>
      <c r="Y7" s="11" t="str">
        <f>IFERROR(IF(Master!X16="", "", Master!X16), "")</f>
        <v>A Lam</v>
      </c>
      <c r="Z7" s="11" t="str">
        <f>IFERROR(IF(Master!Y16="", "", Master!Y16), "")</f>
        <v>A Lam</v>
      </c>
      <c r="AA7" s="11" t="str">
        <f>IFERROR(IF(Master!Z16="", "", Master!Z16), "")</f>
        <v>A Lam</v>
      </c>
      <c r="AB7" s="11" t="str">
        <f>IFERROR(IF(Master!AA16="", "", Master!AA16), "")</f>
        <v>A Lam</v>
      </c>
      <c r="AC7" s="11" t="str">
        <f>IFERROR(IF(Master!AB16="", "", Master!AB16), "")</f>
        <v>A Lam</v>
      </c>
      <c r="AD7" s="11" t="str">
        <f>IFERROR(IF(Master!AC16="", "", Master!AC16), "")</f>
        <v>A Lam</v>
      </c>
      <c r="AE7" s="1"/>
    </row>
    <row r="8" spans="1:42">
      <c r="C8" s="11" t="str">
        <f>IFERROR(IF(Master!B17="", "", Master!B17), "")</f>
        <v/>
      </c>
      <c r="D8" s="11" t="str">
        <f>IFERROR(IF(Master!C17="", "", Master!C17), "")</f>
        <v/>
      </c>
      <c r="E8" s="11" t="str">
        <f>IFERROR(IF(Master!D17="", "", Master!D17), "")</f>
        <v/>
      </c>
      <c r="F8" s="11" t="str">
        <f>IFERROR(IF(Master!E17="", "", Master!E17), "")</f>
        <v/>
      </c>
      <c r="G8" s="11" t="str">
        <f>IFERROR(IF(Master!F17="", "", Master!F17), "")</f>
        <v/>
      </c>
      <c r="H8" s="11" t="str">
        <f>IFERROR(IF(Master!G17="", "", Master!G17), "")</f>
        <v/>
      </c>
      <c r="I8" s="11" t="str">
        <f>IFERROR(IF(Master!H17="", "", Master!H17), "")</f>
        <v/>
      </c>
      <c r="J8" s="11" t="str">
        <f>IFERROR(IF(Master!I17="", "", Master!I17), "")</f>
        <v/>
      </c>
      <c r="K8" s="11" t="str">
        <f>IFERROR(IF(Master!J17="", "", Master!J17), "")</f>
        <v/>
      </c>
      <c r="L8" s="11" t="str">
        <f>IFERROR(IF(Master!K17="", "", Master!K17), "")</f>
        <v/>
      </c>
      <c r="M8" s="11" t="str">
        <f>IFERROR(IF(Master!L17="", "", Master!L17), "")</f>
        <v/>
      </c>
      <c r="N8" s="11" t="str">
        <f>IFERROR(IF(Master!M17="", "", Master!M17), "")</f>
        <v/>
      </c>
      <c r="O8" s="11" t="str">
        <f>IFERROR(IF(Master!N17="", "", Master!N17), "")</f>
        <v/>
      </c>
      <c r="P8" s="11" t="str">
        <f>IFERROR(IF(Master!O17="", "", Master!O17), "")</f>
        <v/>
      </c>
      <c r="Q8" s="11" t="str">
        <f>IFERROR(IF(Master!P17="", "", Master!P17), "")</f>
        <v/>
      </c>
      <c r="R8" s="11" t="str">
        <f>IFERROR(IF(Master!Q17="", "", Master!Q17), "")</f>
        <v/>
      </c>
      <c r="S8" s="11" t="str">
        <f>IFERROR(IF(Master!R17="", "", Master!R17), "")</f>
        <v/>
      </c>
      <c r="T8" s="11" t="str">
        <f>IFERROR(IF(Master!S17="", "", Master!S17), "")</f>
        <v/>
      </c>
      <c r="U8" s="11" t="str">
        <f>IFERROR(IF(Master!T17="", "", Master!T17), "")</f>
        <v/>
      </c>
      <c r="V8" s="11" t="str">
        <f>IFERROR(IF(Master!U17="", "", Master!U17), "")</f>
        <v/>
      </c>
      <c r="W8" s="11" t="str">
        <f>IFERROR(IF(Master!V17="", "", Master!V17), "")</f>
        <v/>
      </c>
      <c r="X8" s="11" t="str">
        <f>IFERROR(IF(Master!W17="", "", Master!W17), "")</f>
        <v/>
      </c>
      <c r="Y8" s="11" t="str">
        <f>IFERROR(IF(Master!X17="", "", Master!X17), "")</f>
        <v/>
      </c>
      <c r="Z8" s="11" t="str">
        <f>IFERROR(IF(Master!Y17="", "", Master!Y17), "")</f>
        <v/>
      </c>
      <c r="AA8" s="11" t="str">
        <f>IFERROR(IF(Master!Z17="", "", Master!Z17), "")</f>
        <v/>
      </c>
      <c r="AB8" s="11" t="str">
        <f>IFERROR(IF(Master!AA17="", "", Master!AA17), "")</f>
        <v/>
      </c>
      <c r="AC8" s="11" t="str">
        <f>IFERROR(IF(Master!AB17="", "", Master!AB17), "")</f>
        <v/>
      </c>
      <c r="AD8" s="11" t="str">
        <f>IFERROR(IF(Master!AC17="", "", Master!AC17), "")</f>
        <v/>
      </c>
      <c r="AE8" s="1"/>
    </row>
    <row r="9" spans="1:42">
      <c r="C9" s="11" t="str">
        <f>IFERROR(IF(Master!B18="", "", Master!B18), "")</f>
        <v>A Lam</v>
      </c>
      <c r="D9" s="11" t="str">
        <f>IFERROR(IF(Master!C18="", "", Master!C18), "")</f>
        <v>A Lam</v>
      </c>
      <c r="E9" s="11" t="str">
        <f>IFERROR(IF(Master!D18="", "", Master!D18), "")</f>
        <v>A Lam</v>
      </c>
      <c r="F9" s="11" t="str">
        <f>IFERROR(IF(Master!E18="", "", Master!E18), "")</f>
        <v>A Lam</v>
      </c>
      <c r="G9" s="11" t="str">
        <f>IFERROR(IF(Master!F18="", "", Master!F18), "")</f>
        <v>A Lam</v>
      </c>
      <c r="H9" s="11" t="str">
        <f>IFERROR(IF(Master!G18="", "", Master!G18), "")</f>
        <v>A Lam</v>
      </c>
      <c r="I9" s="11" t="str">
        <f>IFERROR(IF(Master!H18="", "", Master!H18), "")</f>
        <v>A Lam</v>
      </c>
      <c r="J9" s="11" t="str">
        <f>IFERROR(IF(Master!I18="", "", Master!I18), "")</f>
        <v>A Lam</v>
      </c>
      <c r="K9" s="11" t="str">
        <f>IFERROR(IF(Master!J18="", "", Master!J18), "")</f>
        <v>KATRINA</v>
      </c>
      <c r="L9" s="11" t="str">
        <f>IFERROR(IF(Master!K18="", "", Master!K18), "")</f>
        <v>KATRINA</v>
      </c>
      <c r="M9" s="11" t="str">
        <f>IFERROR(IF(Master!L18="", "", Master!L18), "")</f>
        <v>KATRINA</v>
      </c>
      <c r="N9" s="11" t="str">
        <f>IFERROR(IF(Master!M18="", "", Master!M18), "")</f>
        <v>KATRINA</v>
      </c>
      <c r="O9" s="11" t="str">
        <f>IFERROR(IF(Master!N18="", "", Master!N18), "")</f>
        <v>KATRINA</v>
      </c>
      <c r="P9" s="11" t="str">
        <f>IFERROR(IF(Master!O18="", "", Master!O18), "")</f>
        <v>KATRINA</v>
      </c>
      <c r="Q9" s="11" t="str">
        <f>IFERROR(IF(Master!P18="", "", Master!P18), "")</f>
        <v>KATRINA</v>
      </c>
      <c r="R9" s="11" t="str">
        <f>IFERROR(IF(Master!Q18="", "", Master!Q18), "")</f>
        <v>Melody</v>
      </c>
      <c r="S9" s="11" t="str">
        <f>IFERROR(IF(Master!R18="", "", Master!R18), "")</f>
        <v>Melody</v>
      </c>
      <c r="T9" s="11" t="str">
        <f>IFERROR(IF(Master!S18="", "", Master!S18), "")</f>
        <v>Melody</v>
      </c>
      <c r="U9" s="11" t="str">
        <f>IFERROR(IF(Master!T18="", "", Master!T18), "")</f>
        <v>Melody</v>
      </c>
      <c r="V9" s="11" t="str">
        <f>IFERROR(IF(Master!U18="", "", Master!U18), "")</f>
        <v>Melody</v>
      </c>
      <c r="W9" s="11" t="str">
        <f>IFERROR(IF(Master!V18="", "", Master!V18), "")</f>
        <v>Melody</v>
      </c>
      <c r="X9" s="11" t="str">
        <f>IFERROR(IF(Master!W18="", "", Master!W18), "")</f>
        <v>Melody</v>
      </c>
      <c r="Y9" s="11" t="str">
        <f>IFERROR(IF(Master!X18="", "", Master!X18), "")</f>
        <v>Melody</v>
      </c>
      <c r="Z9" s="11" t="str">
        <f>IFERROR(IF(Master!Y18="", "", Master!Y18), "")</f>
        <v>Melody</v>
      </c>
      <c r="AA9" s="11" t="str">
        <f>IFERROR(IF(Master!Z18="", "", Master!Z18), "")</f>
        <v>Melody</v>
      </c>
      <c r="AB9" s="11" t="str">
        <f>IFERROR(IF(Master!AA18="", "", Master!AA18), "")</f>
        <v>Melody</v>
      </c>
      <c r="AC9" s="11" t="str">
        <f>IFERROR(IF(Master!AB18="", "", Master!AB18), "")</f>
        <v>Melody</v>
      </c>
      <c r="AD9" s="11"/>
      <c r="AE9" s="1"/>
      <c r="AF9" s="1"/>
      <c r="AG9" s="60"/>
      <c r="AH9" s="60"/>
      <c r="AI9" s="60"/>
      <c r="AJ9" s="60"/>
    </row>
    <row r="10" spans="1:42">
      <c r="C10" s="11" t="str">
        <f>IFERROR(IF(Master!B19="", "", Master!B19), "")</f>
        <v/>
      </c>
      <c r="D10" s="11"/>
      <c r="E10" s="11" t="str">
        <f>IFERROR(IF(Master!D19="", "", Master!D19), "")</f>
        <v/>
      </c>
      <c r="F10" s="11" t="str">
        <f>IFERROR(IF(Master!E19="", "", Master!E19), "")</f>
        <v/>
      </c>
      <c r="G10" s="11" t="str">
        <f>IFERROR(IF(Master!F19="", "", Master!F19), "")</f>
        <v/>
      </c>
      <c r="H10" s="11" t="str">
        <f>IFERROR(IF(Master!G19="", "", Master!G19), "")</f>
        <v/>
      </c>
      <c r="I10" s="11" t="str">
        <f>IFERROR(IF(Master!H19="", "", Master!H19), "")</f>
        <v/>
      </c>
      <c r="J10" s="11" t="str">
        <f>IFERROR(IF(Master!I19="", "", Master!I19), "")</f>
        <v/>
      </c>
      <c r="K10" s="11" t="str">
        <f>IFERROR(IF(Master!J19="", "", Master!J19), "")</f>
        <v/>
      </c>
      <c r="L10" s="11" t="str">
        <f>IFERROR(IF(Master!K19="", "", Master!K19), "")</f>
        <v/>
      </c>
      <c r="M10" s="11" t="str">
        <f>IFERROR(IF(Master!L19="", "", Master!L19), "")</f>
        <v/>
      </c>
      <c r="N10" s="11" t="str">
        <f>IFERROR(IF(Master!M19="", "", Master!M19), "")</f>
        <v/>
      </c>
      <c r="O10" s="11" t="str">
        <f>IFERROR(IF(Master!N19="", "", Master!N19), "")</f>
        <v/>
      </c>
      <c r="P10" s="11" t="str">
        <f>IFERROR(IF(Master!O19="", "", Master!O19), "")</f>
        <v/>
      </c>
      <c r="Q10" s="11" t="str">
        <f>IFERROR(IF(Master!P19="", "", Master!P19), "")</f>
        <v/>
      </c>
      <c r="R10" s="11" t="str">
        <f>IFERROR(IF(Master!Q19="", "", Master!Q19), "")</f>
        <v/>
      </c>
      <c r="S10" s="11" t="str">
        <f>IFERROR(IF(Master!R19="", "", Master!R19), "")</f>
        <v/>
      </c>
      <c r="T10" s="11" t="str">
        <f>IFERROR(IF(Master!S19="", "", Master!S19), "")</f>
        <v/>
      </c>
      <c r="U10" s="11" t="str">
        <f>IFERROR(IF(Master!T19="", "", Master!T19), "")</f>
        <v/>
      </c>
      <c r="V10" s="11" t="str">
        <f>IFERROR(IF(Master!U19="", "", Master!U19), "")</f>
        <v/>
      </c>
      <c r="W10" s="11" t="str">
        <f>IFERROR(IF(Master!V19="", "", Master!V19), "")</f>
        <v/>
      </c>
      <c r="X10" s="11" t="str">
        <f>IFERROR(IF(Master!W19="", "", Master!W19), "")</f>
        <v/>
      </c>
      <c r="Y10" s="11" t="str">
        <f>IFERROR(IF(Master!X19="", "", Master!X19), "")</f>
        <v/>
      </c>
      <c r="Z10" s="11" t="str">
        <f>IFERROR(IF(Master!Y19="", "", Master!Y19), "")</f>
        <v/>
      </c>
      <c r="AA10" s="11" t="str">
        <f>IFERROR(IF(Master!Z19="", "", Master!Z19), "")</f>
        <v/>
      </c>
      <c r="AB10" s="11" t="str">
        <f>IFERROR(IF(Master!AA19="", "", Master!AA19), "")</f>
        <v/>
      </c>
      <c r="AC10" s="11" t="str">
        <f>IFERROR(IF(Master!AB19="", "", Master!AB19), "")</f>
        <v/>
      </c>
      <c r="AD10" s="11" t="str">
        <f>IFERROR(IF(Master!AC19="", "", Master!AC19),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D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6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7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8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9</v>
      </c>
      <c r="AE13" s="51"/>
      <c r="AF13" s="51"/>
      <c r="AG13" s="6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D16" si="2">C3</f>
        <v>46054</v>
      </c>
      <c r="D16" s="72">
        <f t="shared" si="2"/>
        <v>46055</v>
      </c>
      <c r="E16" s="72">
        <f t="shared" si="2"/>
        <v>46056</v>
      </c>
      <c r="F16" s="72">
        <f t="shared" si="2"/>
        <v>46057</v>
      </c>
      <c r="G16" s="72">
        <f t="shared" si="2"/>
        <v>46058</v>
      </c>
      <c r="H16" s="72">
        <f t="shared" si="2"/>
        <v>46059</v>
      </c>
      <c r="I16" s="72">
        <f t="shared" si="2"/>
        <v>46060</v>
      </c>
      <c r="J16" s="72">
        <f t="shared" si="2"/>
        <v>46061</v>
      </c>
      <c r="K16" s="72">
        <f t="shared" si="2"/>
        <v>46062</v>
      </c>
      <c r="L16" s="72">
        <f t="shared" si="2"/>
        <v>46063</v>
      </c>
      <c r="M16" s="72">
        <f t="shared" si="2"/>
        <v>46064</v>
      </c>
      <c r="N16" s="72">
        <f t="shared" si="2"/>
        <v>46065</v>
      </c>
      <c r="O16" s="72">
        <f t="shared" si="2"/>
        <v>46066</v>
      </c>
      <c r="P16" s="72">
        <f t="shared" si="2"/>
        <v>46067</v>
      </c>
      <c r="Q16" s="72">
        <f t="shared" si="2"/>
        <v>46068</v>
      </c>
      <c r="R16" s="72">
        <f t="shared" si="2"/>
        <v>46069</v>
      </c>
      <c r="S16" s="72">
        <f t="shared" si="2"/>
        <v>46070</v>
      </c>
      <c r="T16" s="72">
        <f t="shared" si="2"/>
        <v>46071</v>
      </c>
      <c r="U16" s="72">
        <f t="shared" si="2"/>
        <v>46072</v>
      </c>
      <c r="V16" s="72">
        <f t="shared" si="2"/>
        <v>46073</v>
      </c>
      <c r="W16" s="72">
        <f t="shared" si="2"/>
        <v>46074</v>
      </c>
      <c r="X16" s="72">
        <f t="shared" si="2"/>
        <v>46075</v>
      </c>
      <c r="Y16" s="72">
        <f t="shared" si="2"/>
        <v>46076</v>
      </c>
      <c r="Z16" s="72">
        <f t="shared" si="2"/>
        <v>46077</v>
      </c>
      <c r="AA16" s="72">
        <f t="shared" si="2"/>
        <v>46078</v>
      </c>
      <c r="AB16" s="72">
        <f t="shared" si="2"/>
        <v>46079</v>
      </c>
      <c r="AC16" s="72">
        <f t="shared" si="2"/>
        <v>46080</v>
      </c>
      <c r="AD16" s="72">
        <f t="shared" si="2"/>
        <v>46081</v>
      </c>
      <c r="AE16" s="52"/>
      <c r="AF16" s="52"/>
      <c r="AG16" s="62"/>
      <c r="AH16" s="62"/>
      <c r="AI16" s="62"/>
      <c r="AJ16" s="62"/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Sun</v>
      </c>
      <c r="D17" s="39" t="str">
        <f t="shared" ref="D17:AD17" si="3">TEXT(D16,"ddd")</f>
        <v>Mon</v>
      </c>
      <c r="E17" s="39" t="str">
        <f t="shared" si="3"/>
        <v>Tue</v>
      </c>
      <c r="F17" s="39" t="str">
        <f t="shared" si="3"/>
        <v>Wed</v>
      </c>
      <c r="G17" s="39" t="str">
        <f t="shared" si="3"/>
        <v>Thu</v>
      </c>
      <c r="H17" s="39" t="str">
        <f t="shared" si="3"/>
        <v>Fri</v>
      </c>
      <c r="I17" s="39" t="str">
        <f t="shared" si="3"/>
        <v>Sat</v>
      </c>
      <c r="J17" s="39" t="str">
        <f t="shared" si="3"/>
        <v>Sun</v>
      </c>
      <c r="K17" s="39" t="str">
        <f t="shared" si="3"/>
        <v>Mon</v>
      </c>
      <c r="L17" s="39" t="str">
        <f t="shared" si="3"/>
        <v>Tue</v>
      </c>
      <c r="M17" s="39" t="str">
        <f t="shared" si="3"/>
        <v>Wed</v>
      </c>
      <c r="N17" s="39" t="str">
        <f t="shared" si="3"/>
        <v>Thu</v>
      </c>
      <c r="O17" s="39" t="str">
        <f t="shared" si="3"/>
        <v>Fri</v>
      </c>
      <c r="P17" s="39" t="str">
        <f t="shared" si="3"/>
        <v>Sat</v>
      </c>
      <c r="Q17" s="39" t="str">
        <f t="shared" si="3"/>
        <v>Sun</v>
      </c>
      <c r="R17" s="39" t="str">
        <f t="shared" si="3"/>
        <v>Mon</v>
      </c>
      <c r="S17" s="39" t="str">
        <f t="shared" si="3"/>
        <v>Tue</v>
      </c>
      <c r="T17" s="39" t="str">
        <f t="shared" si="3"/>
        <v>Wed</v>
      </c>
      <c r="U17" s="39" t="str">
        <f t="shared" si="3"/>
        <v>Thu</v>
      </c>
      <c r="V17" s="39" t="str">
        <f t="shared" si="3"/>
        <v>Fri</v>
      </c>
      <c r="W17" s="39" t="str">
        <f t="shared" si="3"/>
        <v>Sat</v>
      </c>
      <c r="X17" s="39" t="str">
        <f t="shared" si="3"/>
        <v>Sun</v>
      </c>
      <c r="Y17" s="39" t="str">
        <f t="shared" si="3"/>
        <v>Mon</v>
      </c>
      <c r="Z17" s="39" t="str">
        <f t="shared" si="3"/>
        <v>Tue</v>
      </c>
      <c r="AA17" s="39" t="str">
        <f t="shared" si="3"/>
        <v>Wed</v>
      </c>
      <c r="AB17" s="39" t="str">
        <f t="shared" si="3"/>
        <v>Thu</v>
      </c>
      <c r="AC17" s="50" t="str">
        <f t="shared" si="3"/>
        <v>Fri</v>
      </c>
      <c r="AD17" s="55" t="str">
        <f t="shared" si="3"/>
        <v>Sat</v>
      </c>
      <c r="AE17" s="25"/>
      <c r="AF17" s="25"/>
      <c r="AG17" s="63"/>
      <c r="AH17" s="63"/>
      <c r="AI17" s="63"/>
      <c r="AJ17" s="63"/>
      <c r="AK17" s="85"/>
      <c r="AL17" s="85"/>
      <c r="AM17" s="85"/>
      <c r="AN17" s="83"/>
      <c r="AO17" s="83"/>
      <c r="AP17" s="83"/>
    </row>
    <row r="18" spans="1:42" ht="24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DO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HD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DO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HD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DO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PH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PH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PH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HD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DO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HD</v>
      </c>
      <c r="AE18" s="53"/>
      <c r="AF18" s="53"/>
      <c r="AG18" s="64"/>
      <c r="AH18" s="64"/>
      <c r="AI18" s="64"/>
      <c r="AJ18" s="64"/>
      <c r="AK18" s="11" t="s">
        <v>118</v>
      </c>
      <c r="AL18" s="65">
        <f t="shared" ref="AL18:AL26" si="4">SUMPRODUCT((C18:AD18="D")*8) + SUMPRODUCT((C18:AD18="E")*8) + SUMPRODUCT((C18:AD18="HD")*4)</f>
        <v>152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152</v>
      </c>
      <c r="AO18" s="67">
        <f>AN18-$AN$18</f>
        <v>0</v>
      </c>
      <c r="AP18" s="67">
        <f>AO18+Jan!AP18</f>
        <v>0</v>
      </c>
    </row>
    <row r="19" spans="1:42" ht="24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DO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DO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DO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DO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PH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PH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PH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DO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DO</v>
      </c>
      <c r="AE19" s="53"/>
      <c r="AF19" s="53"/>
      <c r="AG19" s="64"/>
      <c r="AH19" s="64"/>
      <c r="AI19" s="64"/>
      <c r="AJ19" s="64"/>
      <c r="AK19" s="11" t="s">
        <v>21</v>
      </c>
      <c r="AL19" s="65">
        <f t="shared" si="4"/>
        <v>152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26" si="5">AL19+AM19</f>
        <v>152</v>
      </c>
      <c r="AO19" s="67">
        <f t="shared" ref="AO19:AO31" si="6">AN19-$AN$18</f>
        <v>0</v>
      </c>
      <c r="AP19" s="67">
        <f>AO19+Jan!AP19</f>
        <v>-4</v>
      </c>
    </row>
    <row r="20" spans="1:42" ht="24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DO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HD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DO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HD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DO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PH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PH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PH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HD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DO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HD</v>
      </c>
      <c r="AE20" s="53"/>
      <c r="AF20" s="53"/>
      <c r="AG20" s="64"/>
      <c r="AH20" s="64"/>
      <c r="AI20" s="64"/>
      <c r="AJ20" s="64"/>
      <c r="AK20" s="11" t="s">
        <v>119</v>
      </c>
      <c r="AL20" s="65">
        <f t="shared" si="4"/>
        <v>152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152</v>
      </c>
      <c r="AO20" s="67">
        <f t="shared" si="6"/>
        <v>0</v>
      </c>
      <c r="AP20" s="67">
        <f>AO20+Jan!AP20</f>
        <v>0</v>
      </c>
    </row>
    <row r="21" spans="1:42" ht="24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DO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DO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DO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E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E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E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E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DO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PH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PH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PH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D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DO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E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E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E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DO</v>
      </c>
      <c r="AE21" s="53"/>
      <c r="AF21" s="53"/>
      <c r="AG21" s="64"/>
      <c r="AH21" s="64"/>
      <c r="AI21" s="64"/>
      <c r="AJ21" s="64"/>
      <c r="AK21" s="11" t="s">
        <v>24</v>
      </c>
      <c r="AL21" s="65">
        <f t="shared" si="4"/>
        <v>152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152</v>
      </c>
      <c r="AO21" s="67">
        <f t="shared" si="6"/>
        <v>0</v>
      </c>
      <c r="AP21" s="67">
        <f>AO21+Jan!AP21</f>
        <v>-4</v>
      </c>
    </row>
    <row r="22" spans="1:42" ht="24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DO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E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E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E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E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E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DO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D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DO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DO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PH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PH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PH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DO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DO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D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D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DO</v>
      </c>
      <c r="AE22" s="53"/>
      <c r="AF22" s="53"/>
      <c r="AG22" s="64"/>
      <c r="AH22" s="64"/>
      <c r="AI22" s="64"/>
      <c r="AJ22" s="64"/>
      <c r="AK22" s="11" t="s">
        <v>22</v>
      </c>
      <c r="AL22" s="65">
        <f t="shared" si="4"/>
        <v>144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144</v>
      </c>
      <c r="AO22" s="67">
        <f t="shared" si="6"/>
        <v>-8</v>
      </c>
      <c r="AP22" s="67">
        <f>AO22+Jan!AP22</f>
        <v>-12</v>
      </c>
    </row>
    <row r="23" spans="1:42" ht="24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DO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AL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AL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AL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AL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AL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DO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DO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E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E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E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E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E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DO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PH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PH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PH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D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DO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DO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E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E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E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E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53"/>
      <c r="AF23" s="53"/>
      <c r="AG23" s="64"/>
      <c r="AH23" s="64"/>
      <c r="AI23" s="64"/>
      <c r="AJ23" s="64"/>
      <c r="AK23" s="11" t="s">
        <v>23</v>
      </c>
      <c r="AL23" s="65">
        <f t="shared" si="4"/>
        <v>112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40</v>
      </c>
      <c r="AN23" s="68">
        <f t="shared" si="5"/>
        <v>152</v>
      </c>
      <c r="AO23" s="67">
        <f t="shared" si="6"/>
        <v>0</v>
      </c>
      <c r="AP23" s="67">
        <f>AO23+Jan!AP23</f>
        <v>4</v>
      </c>
    </row>
    <row r="24" spans="1:42" ht="24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DO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E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E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E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E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E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DO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DO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DO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PH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PH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PH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E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DO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D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D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DO</v>
      </c>
      <c r="AE24" s="53"/>
      <c r="AF24" s="53"/>
      <c r="AG24" s="64"/>
      <c r="AH24" s="64"/>
      <c r="AI24" s="64"/>
      <c r="AJ24" s="64"/>
      <c r="AK24" s="11" t="s">
        <v>25</v>
      </c>
      <c r="AL24" s="65">
        <f t="shared" si="4"/>
        <v>152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152</v>
      </c>
      <c r="AO24" s="67">
        <f t="shared" si="6"/>
        <v>0</v>
      </c>
      <c r="AP24" s="67">
        <f>AO24+Jan!AP24</f>
        <v>4</v>
      </c>
    </row>
    <row r="25" spans="1:42" ht="24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DO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DO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E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E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E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E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DO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AL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PH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PH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PH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AL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DO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DO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AL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AL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AL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AL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AL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</v>
      </c>
      <c r="AE25" s="53"/>
      <c r="AF25" s="53"/>
      <c r="AG25" s="64"/>
      <c r="AH25" s="64"/>
      <c r="AI25" s="64"/>
      <c r="AJ25" s="64"/>
      <c r="AK25" s="11" t="s">
        <v>27</v>
      </c>
      <c r="AL25" s="65">
        <f t="shared" si="4"/>
        <v>104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56</v>
      </c>
      <c r="AN25" s="68">
        <f t="shared" si="5"/>
        <v>160</v>
      </c>
      <c r="AO25" s="67">
        <f t="shared" si="6"/>
        <v>8</v>
      </c>
      <c r="AP25" s="67">
        <f>AO25+Jan!AP25</f>
        <v>4</v>
      </c>
    </row>
    <row r="26" spans="1:42" ht="24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DO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E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E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E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E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E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DO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DO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AL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AL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AL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AL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AL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DO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DO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PH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PH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PH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E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DO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E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E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E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E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E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53"/>
      <c r="AF26" s="53"/>
      <c r="AG26" s="64"/>
      <c r="AH26" s="64"/>
      <c r="AI26" s="64"/>
      <c r="AJ26" s="64"/>
      <c r="AK26" s="11" t="s">
        <v>26</v>
      </c>
      <c r="AL26" s="65">
        <f t="shared" si="4"/>
        <v>112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40</v>
      </c>
      <c r="AN26" s="68">
        <f t="shared" si="5"/>
        <v>152</v>
      </c>
      <c r="AO26" s="67">
        <f t="shared" si="6"/>
        <v>0</v>
      </c>
      <c r="AP26" s="67">
        <f>AO26+Jan!AP26</f>
        <v>4</v>
      </c>
    </row>
    <row r="27" spans="1:42" ht="24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DO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DO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DO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HD2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DO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PH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PH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PH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DO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DO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HD2</v>
      </c>
      <c r="AE27" s="53"/>
      <c r="AF27" s="53"/>
      <c r="AG27" s="64"/>
      <c r="AH27" s="64"/>
      <c r="AI27" s="64"/>
      <c r="AJ27" s="64"/>
      <c r="AK27" s="11"/>
      <c r="AL27" s="65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AO27+Jan!AP27</f>
        <v>0</v>
      </c>
    </row>
    <row r="28" spans="1:42" ht="24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DO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HD2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DO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DO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DO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PH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PH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PH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HD2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DO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DO</v>
      </c>
      <c r="AE28" s="53"/>
      <c r="AF28" s="53"/>
      <c r="AG28" s="64"/>
      <c r="AH28" s="64"/>
      <c r="AI28" s="64"/>
      <c r="AJ28" s="64"/>
      <c r="AK28" s="11"/>
      <c r="AL28" s="65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AO28+Jan!AP28</f>
        <v>0</v>
      </c>
    </row>
    <row r="29" spans="1:42" ht="24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53"/>
      <c r="AF29" s="53"/>
      <c r="AG29" s="64"/>
      <c r="AH29" s="64"/>
      <c r="AI29" s="64"/>
      <c r="AJ29" s="64"/>
      <c r="AK29" s="11"/>
      <c r="AL29" s="65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AO29+Jan!AP29</f>
        <v>0</v>
      </c>
    </row>
    <row r="30" spans="1:42" ht="24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53"/>
      <c r="AF30" s="53"/>
      <c r="AG30" s="64"/>
      <c r="AH30" s="64"/>
      <c r="AI30" s="64"/>
      <c r="AJ30" s="64"/>
      <c r="AK30" s="11"/>
      <c r="AL30" s="65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AO30+Jan!AP30</f>
        <v>0</v>
      </c>
    </row>
    <row r="31" spans="1:42" ht="24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DO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HD1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DO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HD1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DO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PH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PH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PH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HD1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DO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HD1</v>
      </c>
      <c r="AE31" s="53"/>
      <c r="AF31" s="53"/>
      <c r="AG31" s="64"/>
      <c r="AH31" s="64"/>
      <c r="AI31" s="64"/>
      <c r="AJ31" s="64"/>
      <c r="AK31" s="11"/>
      <c r="AL31" s="65">
        <f>SUMPRODUCT((C31:AD31="D")*8) + SUMPRODUCT((C31:AD31="E")*8) + SUMPRODUCT((C31:AD31="HD1")*4)</f>
        <v>152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ref="AN31" si="7">AL31+AM31</f>
        <v>152</v>
      </c>
      <c r="AO31" s="67">
        <f t="shared" si="6"/>
        <v>0</v>
      </c>
      <c r="AP31" s="67">
        <f>AO31+Jan!AP31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dataConsolidate/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D3">
    <cfRule type="expression" dxfId="213" priority="35">
      <formula>B$12="sun"</formula>
    </cfRule>
  </conditionalFormatting>
  <conditionalFormatting sqref="C3:AD10">
    <cfRule type="expression" dxfId="210" priority="59">
      <formula>WEEKDAY(C3,2)=7</formula>
    </cfRule>
    <cfRule type="expression" dxfId="209" priority="60">
      <formula>C4="sun"</formula>
    </cfRule>
  </conditionalFormatting>
  <conditionalFormatting sqref="C4:AD10">
    <cfRule type="expression" dxfId="208" priority="56">
      <formula>C$4="Sun"</formula>
    </cfRule>
  </conditionalFormatting>
  <conditionalFormatting sqref="C18:AE31">
    <cfRule type="expression" dxfId="206" priority="1">
      <formula>C18="HDAL"</formula>
    </cfRule>
    <cfRule type="expression" dxfId="204" priority="5">
      <formula>C18="DO"</formula>
    </cfRule>
  </conditionalFormatting>
  <conditionalFormatting sqref="C9:AJ9 C10:AD10">
    <cfRule type="expression" dxfId="203" priority="17">
      <formula>C$4="Sun"</formula>
    </cfRule>
    <cfRule type="expression" dxfId="201" priority="20">
      <formula>WEEKDAY(C9,2)=7</formula>
    </cfRule>
  </conditionalFormatting>
  <conditionalFormatting sqref="C17:AJ17">
    <cfRule type="expression" dxfId="199" priority="23">
      <formula>C$17="sun"</formula>
    </cfRule>
    <cfRule type="expression" dxfId="198" priority="24">
      <formula>C$17="sat"</formula>
    </cfRule>
  </conditionalFormatting>
  <conditionalFormatting sqref="C18:AJ31">
    <cfRule type="expression" dxfId="197" priority="2">
      <formula>C18="PH"</formula>
    </cfRule>
    <cfRule type="expression" dxfId="196" priority="3">
      <formula>C18="AL"</formula>
    </cfRule>
  </conditionalFormatting>
  <conditionalFormatting sqref="AF18:AJ31">
    <cfRule type="expression" dxfId="194" priority="27">
      <formula>AF18="DO"</formula>
    </cfRule>
  </conditionalFormatting>
  <conditionalFormatting sqref="AO18:AP31">
    <cfRule type="expression" dxfId="193" priority="6">
      <formula>AO18&gt;0</formula>
    </cfRule>
    <cfRule type="expression" dxfId="192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75F15341-A5D6-4334-9666-53CD2FB49FD7}">
            <xm:f>COUNTIF(PH!$A:$A, C3)&gt;0</xm:f>
            <x14:dxf>
              <font>
                <color rgb="FFFF0000"/>
              </font>
            </x14:dxf>
          </x14:cfRule>
          <xm:sqref>C3:AD10 C9:AJ9</xm:sqref>
        </x14:conditionalFormatting>
        <x14:conditionalFormatting xmlns:xm="http://schemas.microsoft.com/office/excel/2006/main">
          <x14:cfRule type="expression" priority="57" id="{811F86A9-7DB9-4531-A808-D0A8CF76E655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C3:AD10</xm:sqref>
        </x14:conditionalFormatting>
        <x14:conditionalFormatting xmlns:xm="http://schemas.microsoft.com/office/excel/2006/main">
          <x14:cfRule type="expression" priority="13" id="{F33EE842-0ABB-4AE4-B640-2C890A7AD881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C16:AD16</xm:sqref>
        </x14:conditionalFormatting>
        <x14:conditionalFormatting xmlns:xm="http://schemas.microsoft.com/office/excel/2006/main">
          <x14:cfRule type="expression" priority="4" id="{911164B9-7B27-4054-AEF6-E5989F5D4801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C18:AE31</xm:sqref>
        </x14:conditionalFormatting>
        <x14:conditionalFormatting xmlns:xm="http://schemas.microsoft.com/office/excel/2006/main">
          <x14:cfRule type="expression" priority="18" id="{4B054BD0-1617-4314-85BA-D380A49E24D2}">
            <xm:f>AND(COUNTIF(PH!$A:$A, C9)&gt;0, WEEKDAY(C9,2)=6)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C9:AJ9 C10:AD10</xm:sqref>
        </x14:conditionalFormatting>
        <x14:conditionalFormatting xmlns:xm="http://schemas.microsoft.com/office/excel/2006/main">
          <x14:cfRule type="expression" priority="14" id="{2250E9B4-AC37-44D7-A5C4-302CCB30815B}">
            <xm:f>COUNTIF(PH!$A:$A, C16)&gt;0</xm:f>
            <x14:dxf>
              <font>
                <color rgb="FFFF0000"/>
              </font>
            </x14:dxf>
          </x14:cfRule>
          <xm:sqref>C16:AJ16</xm:sqref>
        </x14:conditionalFormatting>
        <x14:conditionalFormatting xmlns:xm="http://schemas.microsoft.com/office/excel/2006/main">
          <x14:cfRule type="expression" priority="26" id="{441BAF74-91EC-4DDA-B423-DB7C6F818CA6}">
            <xm:f>SUMPRODUCT(($C$3:$AK$3 = AF$16) * ($C$5:$AK$7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AF18:AJ31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A51F1C-90BD-46E0-8CB6-528B2811F09A}">
          <x14:formula1>
            <xm:f>'On call stat'!$T$3:$T$18</xm:f>
          </x14:formula1>
          <xm:sqref>C5:AD10</xm:sqref>
        </x14:dataValidation>
        <x14:dataValidation type="list" allowBlank="1" showInputMessage="1" showErrorMessage="1" xr:uid="{0B96BF36-7CAD-426C-BDCB-D0C71040943C}">
          <x14:formula1>
            <xm:f>'On call stat'!$T$3:$T$14</xm:f>
          </x14:formula1>
          <xm:sqref>AE9:AJ10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C9A6-4D64-4A4C-817C-99EEFF5DF8CD}">
  <sheetPr codeName="Sheet4"/>
  <dimension ref="A1:AP48"/>
  <sheetViews>
    <sheetView topLeftCell="A15" zoomScale="70" zoomScaleNormal="70" workbookViewId="0">
      <selection activeCell="C18" sqref="C18"/>
    </sheetView>
  </sheetViews>
  <sheetFormatPr defaultRowHeight="15"/>
  <cols>
    <col min="2" max="2" width="31.42578125" customWidth="1"/>
    <col min="36" max="36" width="9.140625" style="42"/>
    <col min="40" max="40" width="16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IFERROR(IF(Master!B21="", "", Master!B21), "")</f>
        <v>46082</v>
      </c>
      <c r="D3" s="9">
        <f>IFERROR(IF(Master!C21="", "", Master!C21), "")</f>
        <v>46083</v>
      </c>
      <c r="E3" s="9">
        <f>IFERROR(IF(Master!D21="", "", Master!D21), "")</f>
        <v>46084</v>
      </c>
      <c r="F3" s="9">
        <f>IFERROR(IF(Master!E21="", "", Master!E21), "")</f>
        <v>46085</v>
      </c>
      <c r="G3" s="9">
        <f>IFERROR(IF(Master!F21="", "", Master!F21), "")</f>
        <v>46086</v>
      </c>
      <c r="H3" s="9">
        <f>IFERROR(IF(Master!G21="", "", Master!G21), "")</f>
        <v>46087</v>
      </c>
      <c r="I3" s="9">
        <f>IFERROR(IF(Master!H21="", "", Master!H21), "")</f>
        <v>46088</v>
      </c>
      <c r="J3" s="9">
        <f>IFERROR(IF(Master!I21="", "", Master!I21), "")</f>
        <v>46089</v>
      </c>
      <c r="K3" s="9">
        <f>IFERROR(IF(Master!J21="", "", Master!J21), "")</f>
        <v>46090</v>
      </c>
      <c r="L3" s="9">
        <f>IFERROR(IF(Master!K21="", "", Master!K21), "")</f>
        <v>46091</v>
      </c>
      <c r="M3" s="9">
        <f>IFERROR(IF(Master!L21="", "", Master!L21), "")</f>
        <v>46092</v>
      </c>
      <c r="N3" s="9">
        <f>IFERROR(IF(Master!M21="", "", Master!M21), "")</f>
        <v>46093</v>
      </c>
      <c r="O3" s="9">
        <f>IFERROR(IF(Master!N21="", "", Master!N21), "")</f>
        <v>46094</v>
      </c>
      <c r="P3" s="9">
        <f>IFERROR(IF(Master!O21="", "", Master!O21), "")</f>
        <v>46095</v>
      </c>
      <c r="Q3" s="9">
        <f>IFERROR(IF(Master!P21="", "", Master!P21), "")</f>
        <v>46096</v>
      </c>
      <c r="R3" s="9">
        <f>IFERROR(IF(Master!Q21="", "", Master!Q21), "")</f>
        <v>46097</v>
      </c>
      <c r="S3" s="9">
        <f>IFERROR(IF(Master!R21="", "", Master!R21), "")</f>
        <v>46098</v>
      </c>
      <c r="T3" s="9">
        <f>IFERROR(IF(Master!S21="", "", Master!S21), "")</f>
        <v>46099</v>
      </c>
      <c r="U3" s="9">
        <f>IFERROR(IF(Master!T21="", "", Master!T21), "")</f>
        <v>46100</v>
      </c>
      <c r="V3" s="9">
        <f>IFERROR(IF(Master!U21="", "", Master!U21), "")</f>
        <v>46101</v>
      </c>
      <c r="W3" s="9">
        <f>IFERROR(IF(Master!V21="", "", Master!V21), "")</f>
        <v>46102</v>
      </c>
      <c r="X3" s="9">
        <f>IFERROR(IF(Master!W21="", "", Master!W21), "")</f>
        <v>46103</v>
      </c>
      <c r="Y3" s="9">
        <f>IFERROR(IF(Master!X21="", "", Master!X21), "")</f>
        <v>46104</v>
      </c>
      <c r="Z3" s="9">
        <f>IFERROR(IF(Master!Y21="", "", Master!Y21), "")</f>
        <v>46105</v>
      </c>
      <c r="AA3" s="9">
        <f>IFERROR(IF(Master!Z21="", "", Master!Z21), "")</f>
        <v>46106</v>
      </c>
      <c r="AB3" s="9">
        <f>IFERROR(IF(Master!AA21="", "", Master!AA21), "")</f>
        <v>46107</v>
      </c>
      <c r="AC3" s="9">
        <f>IFERROR(IF(Master!AB21="", "", Master!AB21), "")</f>
        <v>46108</v>
      </c>
      <c r="AD3" s="9">
        <f>IFERROR(IF(Master!AC21="", "", Master!AC21), "")</f>
        <v>46109</v>
      </c>
      <c r="AE3" s="9">
        <f>IFERROR(IF(Master!AD21="", "", Master!AD21), "")</f>
        <v>46110</v>
      </c>
      <c r="AF3" s="9">
        <f>IFERROR(IF(Master!AE21="", "", Master!AE21), "")</f>
        <v>46111</v>
      </c>
      <c r="AG3" s="9">
        <f>IFERROR(IF(Master!AF21="", "", Master!AF21), "")</f>
        <v>46112</v>
      </c>
    </row>
    <row r="4" spans="1:42">
      <c r="C4" s="13" t="str">
        <f t="shared" ref="C4:AG4" si="0">TEXT(C3,"ddd")</f>
        <v>Sun</v>
      </c>
      <c r="D4" s="13" t="str">
        <f t="shared" si="0"/>
        <v>Mon</v>
      </c>
      <c r="E4" s="13" t="str">
        <f t="shared" si="0"/>
        <v>Tue</v>
      </c>
      <c r="F4" s="13" t="str">
        <f t="shared" si="0"/>
        <v>Wed</v>
      </c>
      <c r="G4" s="13" t="str">
        <f t="shared" si="0"/>
        <v>Thu</v>
      </c>
      <c r="H4" s="13" t="str">
        <f t="shared" si="0"/>
        <v>Fri</v>
      </c>
      <c r="I4" s="13" t="str">
        <f t="shared" si="0"/>
        <v>Sat</v>
      </c>
      <c r="J4" s="13" t="str">
        <f t="shared" si="0"/>
        <v>Sun</v>
      </c>
      <c r="K4" s="13" t="str">
        <f t="shared" si="0"/>
        <v>Mon</v>
      </c>
      <c r="L4" s="13" t="str">
        <f t="shared" si="0"/>
        <v>Tue</v>
      </c>
      <c r="M4" s="13" t="str">
        <f t="shared" si="0"/>
        <v>Wed</v>
      </c>
      <c r="N4" s="13" t="str">
        <f t="shared" si="0"/>
        <v>Thu</v>
      </c>
      <c r="O4" s="13" t="str">
        <f t="shared" si="0"/>
        <v>Fri</v>
      </c>
      <c r="P4" s="13" t="str">
        <f t="shared" si="0"/>
        <v>Sat</v>
      </c>
      <c r="Q4" s="13" t="str">
        <f t="shared" si="0"/>
        <v>Sun</v>
      </c>
      <c r="R4" s="13" t="str">
        <f t="shared" si="0"/>
        <v>Mon</v>
      </c>
      <c r="S4" s="13" t="str">
        <f t="shared" si="0"/>
        <v>Tue</v>
      </c>
      <c r="T4" s="13" t="str">
        <f t="shared" si="0"/>
        <v>Wed</v>
      </c>
      <c r="U4" s="13" t="str">
        <f t="shared" si="0"/>
        <v>Thu</v>
      </c>
      <c r="V4" s="13" t="str">
        <f t="shared" si="0"/>
        <v>Fri</v>
      </c>
      <c r="W4" s="13" t="str">
        <f t="shared" si="0"/>
        <v>Sat</v>
      </c>
      <c r="X4" s="13" t="str">
        <f t="shared" si="0"/>
        <v>Sun</v>
      </c>
      <c r="Y4" s="13" t="str">
        <f t="shared" si="0"/>
        <v>Mon</v>
      </c>
      <c r="Z4" s="13" t="str">
        <f t="shared" si="0"/>
        <v>Tue</v>
      </c>
      <c r="AA4" s="13" t="str">
        <f t="shared" si="0"/>
        <v>Wed</v>
      </c>
      <c r="AB4" s="13" t="str">
        <f t="shared" si="0"/>
        <v>Thu</v>
      </c>
      <c r="AC4" s="13" t="str">
        <f t="shared" si="0"/>
        <v>Fri</v>
      </c>
      <c r="AD4" s="13" t="str">
        <f t="shared" si="0"/>
        <v>Sat</v>
      </c>
      <c r="AE4" s="13" t="str">
        <f t="shared" si="0"/>
        <v>Sun</v>
      </c>
      <c r="AF4" s="13" t="str">
        <f t="shared" si="0"/>
        <v>Mon</v>
      </c>
      <c r="AG4" s="13" t="str">
        <f t="shared" si="0"/>
        <v>Tue</v>
      </c>
    </row>
    <row r="5" spans="1:42">
      <c r="C5" s="11" t="str">
        <f>IFERROR(IF(Master!B23="", "", Master!B23), "")</f>
        <v>Melody</v>
      </c>
      <c r="D5" s="11" t="str">
        <f>IFERROR(IF(Master!C23="", "", Master!C23), "")</f>
        <v>Dicky</v>
      </c>
      <c r="E5" s="11" t="str">
        <f>IFERROR(IF(Master!D23="", "", Master!D23), "")</f>
        <v>Dicky</v>
      </c>
      <c r="F5" s="11" t="str">
        <f>IFERROR(IF(Master!E23="", "", Master!E23), "")</f>
        <v>Amy</v>
      </c>
      <c r="G5" s="11" t="str">
        <f>IFERROR(IF(Master!F23="", "", Master!F23), "")</f>
        <v>Amy</v>
      </c>
      <c r="H5" s="11" t="str">
        <f>IFERROR(IF(Master!G23="", "", Master!G23), "")</f>
        <v>Amy</v>
      </c>
      <c r="I5" s="11" t="str">
        <f>IFERROR(IF(Master!H23="", "", Master!H23), "")</f>
        <v>Amy</v>
      </c>
      <c r="J5" s="11" t="str">
        <f>IFERROR(IF(Master!I23="", "", Master!I23), "")</f>
        <v>Amy</v>
      </c>
      <c r="K5" s="11" t="str">
        <f>IFERROR(IF(Master!J23="", "", Master!J23), "")</f>
        <v>Amy</v>
      </c>
      <c r="L5" s="11" t="str">
        <f>IFERROR(IF(Master!K23="", "", Master!K23), "")</f>
        <v>Amy</v>
      </c>
      <c r="M5" s="11" t="str">
        <f>IFERROR(IF(Master!L23="", "", Master!L23), "")</f>
        <v>Amy</v>
      </c>
      <c r="N5" s="11" t="str">
        <f>IFERROR(IF(Master!M23="", "", Master!M23), "")</f>
        <v>Dicky</v>
      </c>
      <c r="O5" s="11" t="str">
        <f>IFERROR(IF(Master!N23="", "", Master!N23), "")</f>
        <v>Dicky</v>
      </c>
      <c r="P5" s="11" t="str">
        <f>IFERROR(IF(Master!O23="", "", Master!O23), "")</f>
        <v>Dicky</v>
      </c>
      <c r="Q5" s="11" t="str">
        <f>IFERROR(IF(Master!P23="", "", Master!P23), "")</f>
        <v>Dicky</v>
      </c>
      <c r="R5" s="11" t="str">
        <f>IFERROR(IF(Master!Q23="", "", Master!Q23), "")</f>
        <v>Amy</v>
      </c>
      <c r="S5" s="11" t="str">
        <f>IFERROR(IF(Master!R23="", "", Master!R23), "")</f>
        <v>Amy</v>
      </c>
      <c r="T5" s="11" t="str">
        <f>IFERROR(IF(Master!S23="", "", Master!S23), "")</f>
        <v>Amy</v>
      </c>
      <c r="U5" s="11" t="str">
        <f>IFERROR(IF(Master!T23="", "", Master!T23), "")</f>
        <v>Dicky</v>
      </c>
      <c r="V5" s="11" t="str">
        <f>IFERROR(IF(Master!U23="", "", Master!U23), "")</f>
        <v>Amy</v>
      </c>
      <c r="W5" s="11" t="str">
        <f>IFERROR(IF(Master!V23="", "", Master!V23), "")</f>
        <v>Amy</v>
      </c>
      <c r="X5" s="11" t="str">
        <f>IFERROR(IF(Master!W23="", "", Master!W23), "")</f>
        <v>Amy</v>
      </c>
      <c r="Y5" s="11" t="str">
        <f>IFERROR(IF(Master!X23="", "", Master!X23), "")</f>
        <v>Amy</v>
      </c>
      <c r="Z5" s="11" t="str">
        <f>IFERROR(IF(Master!Y23="", "", Master!Y23), "")</f>
        <v>Amy</v>
      </c>
      <c r="AA5" s="11" t="str">
        <f>IFERROR(IF(Master!Z23="", "", Master!Z23), "")</f>
        <v>Amy</v>
      </c>
      <c r="AB5" s="11" t="str">
        <f>IFERROR(IF(Master!AA23="", "", Master!AA23), "")</f>
        <v>Amy</v>
      </c>
      <c r="AC5" s="11" t="str">
        <f>IFERROR(IF(Master!AB23="", "", Master!AB23), "")</f>
        <v>Amy</v>
      </c>
      <c r="AD5" s="11" t="str">
        <f>IFERROR(IF(Master!AC23="", "", Master!AC23), "")</f>
        <v>Amy</v>
      </c>
      <c r="AE5" s="11" t="str">
        <f>IFERROR(IF(Master!AD23="", "", Master!AD23), "")</f>
        <v>Amy</v>
      </c>
      <c r="AF5" s="11" t="str">
        <f>IFERROR(IF(Master!AE23="", "", Master!AE23), "")</f>
        <v>Dicky</v>
      </c>
      <c r="AG5" s="11" t="str">
        <f>IFERROR(IF(Master!AF23="", "", Master!AF23), "")</f>
        <v>Dicky</v>
      </c>
    </row>
    <row r="6" spans="1:42">
      <c r="C6" s="11" t="str">
        <f>IFERROR(IF(Master!B24="", "", Master!B24), "")</f>
        <v>Katrina</v>
      </c>
      <c r="D6" s="11" t="str">
        <f>IFERROR(IF(Master!C24="", "", Master!C24), "")</f>
        <v>Melody</v>
      </c>
      <c r="E6" s="11" t="str">
        <f>IFERROR(IF(Master!D24="", "", Master!D24), "")</f>
        <v>Melody</v>
      </c>
      <c r="F6" s="11" t="str">
        <f>IFERROR(IF(Master!E24="", "", Master!E24), "")</f>
        <v>Melody</v>
      </c>
      <c r="G6" s="11" t="str">
        <f>IFERROR(IF(Master!F24="", "", Master!F24), "")</f>
        <v>Melody</v>
      </c>
      <c r="H6" s="11" t="str">
        <f>IFERROR(IF(Master!G24="", "", Master!G24), "")</f>
        <v>Melody</v>
      </c>
      <c r="I6" s="11" t="str">
        <f>IFERROR(IF(Master!H24="", "", Master!H24), "")</f>
        <v>Melody</v>
      </c>
      <c r="J6" s="11" t="str">
        <f>IFERROR(IF(Master!I24="", "", Master!I24), "")</f>
        <v>Melody</v>
      </c>
      <c r="K6" s="11" t="str">
        <f>IFERROR(IF(Master!J24="", "", Master!J24), "")</f>
        <v>A Lam</v>
      </c>
      <c r="L6" s="11" t="str">
        <f>IFERROR(IF(Master!K24="", "", Master!K24), "")</f>
        <v>A Lam</v>
      </c>
      <c r="M6" s="11" t="str">
        <f>IFERROR(IF(Master!L24="", "", Master!L24), "")</f>
        <v>A Lam</v>
      </c>
      <c r="N6" s="11" t="str">
        <f>IFERROR(IF(Master!M24="", "", Master!M24), "")</f>
        <v>A Lam</v>
      </c>
      <c r="O6" s="11" t="str">
        <f>IFERROR(IF(Master!N24="", "", Master!N24), "")</f>
        <v>A Lam</v>
      </c>
      <c r="P6" s="11" t="str">
        <f>IFERROR(IF(Master!O24="", "", Master!O24), "")</f>
        <v>A Lam</v>
      </c>
      <c r="Q6" s="11" t="str">
        <f>IFERROR(IF(Master!P24="", "", Master!P24), "")</f>
        <v>A Lam</v>
      </c>
      <c r="R6" s="11" t="str">
        <f>IFERROR(IF(Master!Q24="", "", Master!Q24), "")</f>
        <v>Melody</v>
      </c>
      <c r="S6" s="11" t="str">
        <f>IFERROR(IF(Master!R24="", "", Master!R24), "")</f>
        <v>Melody</v>
      </c>
      <c r="T6" s="11" t="str">
        <f>IFERROR(IF(Master!S24="", "", Master!S24), "")</f>
        <v>Melody</v>
      </c>
      <c r="U6" s="11" t="str">
        <f>IFERROR(IF(Master!T24="", "", Master!T24), "")</f>
        <v>Melody</v>
      </c>
      <c r="V6" s="11" t="str">
        <f>IFERROR(IF(Master!U24="", "", Master!U24), "")</f>
        <v>Melody</v>
      </c>
      <c r="W6" s="11" t="str">
        <f>IFERROR(IF(Master!V24="", "", Master!V24), "")</f>
        <v>Melody</v>
      </c>
      <c r="X6" s="11" t="str">
        <f>IFERROR(IF(Master!W24="", "", Master!W24), "")</f>
        <v>Melody</v>
      </c>
      <c r="Y6" s="11" t="str">
        <f>IFERROR(IF(Master!X24="", "", Master!X24), "")</f>
        <v>Katrina</v>
      </c>
      <c r="Z6" s="11" t="str">
        <f>IFERROR(IF(Master!Y24="", "", Master!Y24), "")</f>
        <v>Katrina</v>
      </c>
      <c r="AA6" s="11" t="str">
        <f>IFERROR(IF(Master!Z24="", "", Master!Z24), "")</f>
        <v>Katrina</v>
      </c>
      <c r="AB6" s="11" t="str">
        <f>IFERROR(IF(Master!AA24="", "", Master!AA24), "")</f>
        <v>Katrina</v>
      </c>
      <c r="AC6" s="11" t="str">
        <f>IFERROR(IF(Master!AB24="", "", Master!AB24), "")</f>
        <v>Katrina</v>
      </c>
      <c r="AD6" s="11" t="str">
        <f>IFERROR(IF(Master!AC24="", "", Master!AC24), "")</f>
        <v>Katrina</v>
      </c>
      <c r="AE6" s="11" t="str">
        <f>IFERROR(IF(Master!AD24="", "", Master!AD24), "")</f>
        <v>Katrina</v>
      </c>
      <c r="AF6" s="11" t="str">
        <f>IFERROR(IF(Master!AE24="", "", Master!AE24), "")</f>
        <v>A Lam</v>
      </c>
      <c r="AG6" s="11" t="str">
        <f>IFERROR(IF(Master!AF24="", "", Master!AF24), "")</f>
        <v>A Lam</v>
      </c>
    </row>
    <row r="7" spans="1:42">
      <c r="C7" s="11" t="str">
        <f>IFERROR(IF(Master!B25="", "", Master!B25), "")</f>
        <v>A Lam</v>
      </c>
      <c r="D7" s="11" t="str">
        <f>IFERROR(IF(Master!C25="", "", Master!C25), "")</f>
        <v>Ka Po</v>
      </c>
      <c r="E7" s="11" t="str">
        <f>IFERROR(IF(Master!D25="", "", Master!D25), "")</f>
        <v>Ka Po</v>
      </c>
      <c r="F7" s="11" t="str">
        <f>IFERROR(IF(Master!E25="", "", Master!E25), "")</f>
        <v>Ka Po</v>
      </c>
      <c r="G7" s="11" t="str">
        <f>IFERROR(IF(Master!F25="", "", Master!F25), "")</f>
        <v>Ka Po</v>
      </c>
      <c r="H7" s="11" t="str">
        <f>IFERROR(IF(Master!G25="", "", Master!G25), "")</f>
        <v>Ka Po</v>
      </c>
      <c r="I7" s="11" t="str">
        <f>IFERROR(IF(Master!H25="", "", Master!H25), "")</f>
        <v>Ka Po</v>
      </c>
      <c r="J7" s="11" t="str">
        <f>IFERROR(IF(Master!I25="", "", Master!I25), "")</f>
        <v>Ka Po</v>
      </c>
      <c r="K7" s="11" t="str">
        <f>IFERROR(IF(Master!J25="", "", Master!J25), "")</f>
        <v>Katrina</v>
      </c>
      <c r="L7" s="11" t="str">
        <f>IFERROR(IF(Master!K25="", "", Master!K25), "")</f>
        <v>Katrina</v>
      </c>
      <c r="M7" s="11" t="str">
        <f>IFERROR(IF(Master!L25="", "", Master!L25), "")</f>
        <v>Katrina</v>
      </c>
      <c r="N7" s="11" t="str">
        <f>IFERROR(IF(Master!M25="", "", Master!M25), "")</f>
        <v>Katrina</v>
      </c>
      <c r="O7" s="11" t="str">
        <f>IFERROR(IF(Master!N25="", "", Master!N25), "")</f>
        <v>Katrina</v>
      </c>
      <c r="P7" s="11" t="str">
        <f>IFERROR(IF(Master!O25="", "", Master!O25), "")</f>
        <v>Katrina</v>
      </c>
      <c r="Q7" s="11" t="str">
        <f>IFERROR(IF(Master!P25="", "", Master!P25), "")</f>
        <v>Katrina</v>
      </c>
      <c r="R7" s="11" t="str">
        <f>IFERROR(IF(Master!Q25="", "", Master!Q25), "")</f>
        <v>Ka Po</v>
      </c>
      <c r="S7" s="11" t="str">
        <f>IFERROR(IF(Master!R25="", "", Master!R25), "")</f>
        <v>Ka Po</v>
      </c>
      <c r="T7" s="11" t="str">
        <f>IFERROR(IF(Master!S25="", "", Master!S25), "")</f>
        <v>Ka Po</v>
      </c>
      <c r="U7" s="11" t="str">
        <f>IFERROR(IF(Master!T25="", "", Master!T25), "")</f>
        <v>Ka Po</v>
      </c>
      <c r="V7" s="11" t="str">
        <f>IFERROR(IF(Master!U25="", "", Master!U25), "")</f>
        <v>Ka Po</v>
      </c>
      <c r="W7" s="11" t="str">
        <f>IFERROR(IF(Master!V25="", "", Master!V25), "")</f>
        <v>Ka Po</v>
      </c>
      <c r="X7" s="11" t="str">
        <f>IFERROR(IF(Master!W25="", "", Master!W25), "")</f>
        <v>Ka Po</v>
      </c>
      <c r="Y7" s="11" t="str">
        <f>IFERROR(IF(Master!X25="", "", Master!X25), "")</f>
        <v>Ka Po</v>
      </c>
      <c r="Z7" s="11" t="str">
        <f>IFERROR(IF(Master!Y25="", "", Master!Y25), "")</f>
        <v>Ka Po</v>
      </c>
      <c r="AA7" s="11" t="str">
        <f>IFERROR(IF(Master!Z25="", "", Master!Z25), "")</f>
        <v>Ka Po</v>
      </c>
      <c r="AB7" s="11" t="str">
        <f>IFERROR(IF(Master!AA25="", "", Master!AA25), "")</f>
        <v>Ka Po</v>
      </c>
      <c r="AC7" s="11" t="str">
        <f>IFERROR(IF(Master!AB25="", "", Master!AB25), "")</f>
        <v>Ka Po</v>
      </c>
      <c r="AD7" s="11" t="str">
        <f>IFERROR(IF(Master!AC25="", "", Master!AC25), "")</f>
        <v>Ka Po</v>
      </c>
      <c r="AE7" s="11" t="str">
        <f>IFERROR(IF(Master!AD25="", "", Master!AD25), "")</f>
        <v>Dicky</v>
      </c>
      <c r="AF7" s="11" t="str">
        <f>IFERROR(IF(Master!AE25="", "", Master!AE25), "")</f>
        <v>Dicky</v>
      </c>
      <c r="AG7" s="11" t="str">
        <f>IFERROR(IF(Master!AF25="", "", Master!AF25), "")</f>
        <v>Melody</v>
      </c>
    </row>
    <row r="8" spans="1:42">
      <c r="C8" s="11" t="str">
        <f>IFERROR(IF(Master!B26="", "", Master!B26), "")</f>
        <v/>
      </c>
      <c r="D8" s="11" t="str">
        <f>IFERROR(IF(Master!C26="", "", Master!C26), "")</f>
        <v/>
      </c>
      <c r="E8" s="11" t="str">
        <f>IFERROR(IF(Master!D26="", "", Master!D26), "")</f>
        <v/>
      </c>
      <c r="F8" s="11" t="str">
        <f>IFERROR(IF(Master!E26="", "", Master!E26), "")</f>
        <v/>
      </c>
      <c r="G8" s="11" t="str">
        <f>IFERROR(IF(Master!F26="", "", Master!F26), "")</f>
        <v/>
      </c>
      <c r="H8" s="11" t="str">
        <f>IFERROR(IF(Master!G26="", "", Master!G26), "")</f>
        <v/>
      </c>
      <c r="I8" s="11" t="str">
        <f>IFERROR(IF(Master!H26="", "", Master!H26), "")</f>
        <v/>
      </c>
      <c r="J8" s="11" t="str">
        <f>IFERROR(IF(Master!I26="", "", Master!I26), "")</f>
        <v/>
      </c>
      <c r="K8" s="11" t="str">
        <f>IFERROR(IF(Master!J26="", "", Master!J26), "")</f>
        <v/>
      </c>
      <c r="L8" s="11" t="str">
        <f>IFERROR(IF(Master!K26="", "", Master!K26), "")</f>
        <v/>
      </c>
      <c r="M8" s="11" t="str">
        <f>IFERROR(IF(Master!L26="", "", Master!L26), "")</f>
        <v/>
      </c>
      <c r="N8" s="11" t="str">
        <f>IFERROR(IF(Master!M26="", "", Master!M26), "")</f>
        <v/>
      </c>
      <c r="O8" s="11" t="str">
        <f>IFERROR(IF(Master!N26="", "", Master!N26), "")</f>
        <v/>
      </c>
      <c r="P8" s="11" t="str">
        <f>IFERROR(IF(Master!O26="", "", Master!O26), "")</f>
        <v/>
      </c>
      <c r="Q8" s="11" t="str">
        <f>IFERROR(IF(Master!P26="", "", Master!P26), "")</f>
        <v/>
      </c>
      <c r="R8" s="11" t="str">
        <f>IFERROR(IF(Master!Q26="", "", Master!Q26), "")</f>
        <v/>
      </c>
      <c r="S8" s="11" t="str">
        <f>IFERROR(IF(Master!R26="", "", Master!R26), "")</f>
        <v/>
      </c>
      <c r="T8" s="11" t="str">
        <f>IFERROR(IF(Master!S26="", "", Master!S26), "")</f>
        <v/>
      </c>
      <c r="U8" s="11" t="str">
        <f>IFERROR(IF(Master!T26="", "", Master!T26), "")</f>
        <v/>
      </c>
      <c r="V8" s="11" t="str">
        <f>IFERROR(IF(Master!U26="", "", Master!U26), "")</f>
        <v/>
      </c>
      <c r="W8" s="11" t="str">
        <f>IFERROR(IF(Master!V26="", "", Master!V26), "")</f>
        <v/>
      </c>
      <c r="X8" s="11" t="str">
        <f>IFERROR(IF(Master!W26="", "", Master!W26), "")</f>
        <v/>
      </c>
      <c r="Y8" s="11" t="str">
        <f>IFERROR(IF(Master!X26="", "", Master!X26), "")</f>
        <v/>
      </c>
      <c r="Z8" s="11" t="str">
        <f>IFERROR(IF(Master!Y26="", "", Master!Y26), "")</f>
        <v/>
      </c>
      <c r="AA8" s="11" t="str">
        <f>IFERROR(IF(Master!Z26="", "", Master!Z26), "")</f>
        <v/>
      </c>
      <c r="AB8" s="11" t="str">
        <f>IFERROR(IF(Master!AA26="", "", Master!AA26), "")</f>
        <v/>
      </c>
      <c r="AC8" s="11" t="str">
        <f>IFERROR(IF(Master!AB26="", "", Master!AB26), "")</f>
        <v/>
      </c>
      <c r="AD8" s="11" t="str">
        <f>IFERROR(IF(Master!AC26="", "", Master!AC26), "")</f>
        <v/>
      </c>
      <c r="AE8" s="11" t="str">
        <f>IFERROR(IF(Master!AD26="", "", Master!AD26), "")</f>
        <v/>
      </c>
      <c r="AF8" s="11" t="str">
        <f>IFERROR(IF(Master!AE26="", "", Master!AE26), "")</f>
        <v/>
      </c>
      <c r="AG8" s="11" t="str">
        <f>IFERROR(IF(Master!AF26="", "", Master!AF26), "")</f>
        <v/>
      </c>
    </row>
    <row r="9" spans="1:42">
      <c r="C9" s="11" t="str">
        <f>IFERROR(IF(Master!B27="", "", Master!B27), "")</f>
        <v/>
      </c>
      <c r="D9" s="11" t="str">
        <f>IFERROR(IF(Master!C27="", "", Master!C27), "")</f>
        <v/>
      </c>
      <c r="E9" s="11" t="str">
        <f>IFERROR(IF(Master!D27="", "", Master!D27), "")</f>
        <v/>
      </c>
      <c r="F9" s="11" t="str">
        <f>IFERROR(IF(Master!E27="", "", Master!E27), "")</f>
        <v/>
      </c>
      <c r="G9" s="11" t="str">
        <f>IFERROR(IF(Master!F27="", "", Master!F27), "")</f>
        <v/>
      </c>
      <c r="H9" s="11" t="str">
        <f>IFERROR(IF(Master!G27="", "", Master!G27), "")</f>
        <v/>
      </c>
      <c r="I9" s="11" t="str">
        <f>IFERROR(IF(Master!H27="", "", Master!H27), "")</f>
        <v/>
      </c>
      <c r="J9" s="11" t="str">
        <f>IFERROR(IF(Master!I27="", "", Master!I27), "")</f>
        <v/>
      </c>
      <c r="K9" s="11" t="str">
        <f>IFERROR(IF(Master!J27="", "", Master!J27), "")</f>
        <v/>
      </c>
      <c r="L9" s="11" t="str">
        <f>IFERROR(IF(Master!K27="", "", Master!K27), "")</f>
        <v/>
      </c>
      <c r="M9" s="11" t="str">
        <f>IFERROR(IF(Master!L27="", "", Master!L27), "")</f>
        <v/>
      </c>
      <c r="N9" s="11" t="str">
        <f>IFERROR(IF(Master!M27="", "", Master!M27), "")</f>
        <v/>
      </c>
      <c r="O9" s="11" t="str">
        <f>IFERROR(IF(Master!N27="", "", Master!N27), "")</f>
        <v/>
      </c>
      <c r="P9" s="11" t="str">
        <f>IFERROR(IF(Master!O27="", "", Master!O27), "")</f>
        <v/>
      </c>
      <c r="Q9" s="11" t="str">
        <f>IFERROR(IF(Master!P27="", "", Master!P27), "")</f>
        <v/>
      </c>
      <c r="R9" s="11" t="str">
        <f>IFERROR(IF(Master!Q27="", "", Master!Q27), "")</f>
        <v/>
      </c>
      <c r="S9" s="11" t="str">
        <f>IFERROR(IF(Master!R27="", "", Master!R27), "")</f>
        <v/>
      </c>
      <c r="T9" s="11" t="str">
        <f>IFERROR(IF(Master!S27="", "", Master!S27), "")</f>
        <v/>
      </c>
      <c r="U9" s="11" t="str">
        <f>IFERROR(IF(Master!T27="", "", Master!T27), "")</f>
        <v/>
      </c>
      <c r="V9" s="11" t="str">
        <f>IFERROR(IF(Master!U27="", "", Master!U27), "")</f>
        <v/>
      </c>
      <c r="W9" s="11" t="str">
        <f>IFERROR(IF(Master!V27="", "", Master!V27), "")</f>
        <v/>
      </c>
      <c r="X9" s="11" t="str">
        <f>IFERROR(IF(Master!W27="", "", Master!W27), "")</f>
        <v/>
      </c>
      <c r="Y9" s="11" t="str">
        <f>IFERROR(IF(Master!X27="", "", Master!X27), "")</f>
        <v>Ivy</v>
      </c>
      <c r="Z9" s="11" t="str">
        <f>IFERROR(IF(Master!Y27="", "", Master!Y27), "")</f>
        <v>IVY</v>
      </c>
      <c r="AA9" s="11" t="str">
        <f>IFERROR(IF(Master!Z27="", "", Master!Z27), "")</f>
        <v>IVY</v>
      </c>
      <c r="AB9" s="11" t="str">
        <f>IFERROR(IF(Master!AA27="", "", Master!AA27), "")</f>
        <v>IVY</v>
      </c>
      <c r="AC9" s="11" t="str">
        <f>IFERROR(IF(Master!AB27="", "", Master!AB27), "")</f>
        <v>IVY</v>
      </c>
      <c r="AD9" s="11" t="str">
        <f>IFERROR(IF(Master!AC27="", "", Master!AC27), "")</f>
        <v>IVY</v>
      </c>
      <c r="AE9" s="11" t="str">
        <f>IFERROR(IF(Master!AD27="", "", Master!AD27), "")</f>
        <v>IVY</v>
      </c>
      <c r="AF9" s="11" t="str">
        <f>IFERROR(IF(Master!AE27="", "", Master!AE27), "")</f>
        <v>IVY</v>
      </c>
      <c r="AG9" s="11" t="str">
        <f>IFERROR(IF(Master!AF27="", "", Master!AF27), "")</f>
        <v>IVY</v>
      </c>
    </row>
    <row r="10" spans="1:42">
      <c r="C10" s="11" t="str">
        <f>IFERROR(IF(Master!B28="", "", Master!B28), "")</f>
        <v/>
      </c>
      <c r="D10" s="11" t="str">
        <f>IFERROR(IF(Master!C28="", "", Master!C28), "")</f>
        <v/>
      </c>
      <c r="E10" s="11" t="str">
        <f>IFERROR(IF(Master!D28="", "", Master!D28), "")</f>
        <v/>
      </c>
      <c r="F10" s="11" t="str">
        <f>IFERROR(IF(Master!E28="", "", Master!E28), "")</f>
        <v/>
      </c>
      <c r="G10" s="11" t="str">
        <f>IFERROR(IF(Master!F28="", "", Master!F28), "")</f>
        <v/>
      </c>
      <c r="H10" s="11" t="str">
        <f>IFERROR(IF(Master!G28="", "", Master!G28), "")</f>
        <v/>
      </c>
      <c r="I10" s="11" t="str">
        <f>IFERROR(IF(Master!H28="", "", Master!H28), "")</f>
        <v/>
      </c>
      <c r="J10" s="11" t="str">
        <f>IFERROR(IF(Master!I28="", "", Master!I28), "")</f>
        <v/>
      </c>
      <c r="K10" s="11" t="str">
        <f>IFERROR(IF(Master!J28="", "", Master!J28), "")</f>
        <v/>
      </c>
      <c r="L10" s="11" t="str">
        <f>IFERROR(IF(Master!K28="", "", Master!K28), "")</f>
        <v/>
      </c>
      <c r="M10" s="11" t="str">
        <f>IFERROR(IF(Master!L28="", "", Master!L28), "")</f>
        <v/>
      </c>
      <c r="N10" s="11" t="str">
        <f>IFERROR(IF(Master!M28="", "", Master!M28), "")</f>
        <v/>
      </c>
      <c r="O10" s="11" t="str">
        <f>IFERROR(IF(Master!N28="", "", Master!N28), "")</f>
        <v/>
      </c>
      <c r="P10" s="11" t="str">
        <f>IFERROR(IF(Master!O28="", "", Master!O28), "")</f>
        <v/>
      </c>
      <c r="Q10" s="11" t="str">
        <f>IFERROR(IF(Master!P28="", "", Master!P28), "")</f>
        <v/>
      </c>
      <c r="R10" s="11" t="str">
        <f>IFERROR(IF(Master!Q28="", "", Master!Q28), "")</f>
        <v/>
      </c>
      <c r="S10" s="11" t="str">
        <f>IFERROR(IF(Master!R28="", "", Master!R28), "")</f>
        <v/>
      </c>
      <c r="T10" s="11" t="str">
        <f>IFERROR(IF(Master!S28="", "", Master!S28), "")</f>
        <v/>
      </c>
      <c r="U10" s="11" t="str">
        <f>IFERROR(IF(Master!T28="", "", Master!T28), "")</f>
        <v/>
      </c>
      <c r="V10" s="11" t="str">
        <f>IFERROR(IF(Master!U28="", "", Master!U28), "")</f>
        <v/>
      </c>
      <c r="W10" s="11" t="str">
        <f>IFERROR(IF(Master!V28="", "", Master!V28), "")</f>
        <v/>
      </c>
      <c r="X10" s="11" t="str">
        <f>IFERROR(IF(Master!W28="", "", Master!W28), "")</f>
        <v/>
      </c>
      <c r="Y10" s="11" t="str">
        <f>IFERROR(IF(Master!X28="", "", Master!X28), "")</f>
        <v/>
      </c>
      <c r="Z10" s="11" t="str">
        <f>IFERROR(IF(Master!Y28="", "", Master!Y28), "")</f>
        <v/>
      </c>
      <c r="AA10" s="11" t="str">
        <f>IFERROR(IF(Master!Z28="", "", Master!Z28), "")</f>
        <v/>
      </c>
      <c r="AB10" s="11" t="str">
        <f>IFERROR(IF(Master!AA28="", "", Master!AA28), "")</f>
        <v/>
      </c>
      <c r="AC10" s="11" t="str">
        <f>IFERROR(IF(Master!AB28="", "", Master!AB28), "")</f>
        <v/>
      </c>
      <c r="AD10" s="11" t="str">
        <f>IFERROR(IF(Master!AC28="", "", Master!AC28), "")</f>
        <v/>
      </c>
      <c r="AE10" s="11" t="str">
        <f>IFERROR(IF(Master!AD28="", "", Master!AD28), "")</f>
        <v/>
      </c>
      <c r="AF10" s="11" t="str">
        <f>IFERROR(IF(Master!AE28="", "", Master!AE28), "")</f>
        <v/>
      </c>
      <c r="AG10" s="11" t="str">
        <f>IFERROR(IF(Master!AF28="", "", Master!AF28),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10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11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12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13</v>
      </c>
      <c r="AE13" s="12">
        <f t="shared" si="1"/>
        <v>0</v>
      </c>
      <c r="AF13" s="12">
        <f t="shared" si="1"/>
        <v>0</v>
      </c>
      <c r="AG13" s="12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46082</v>
      </c>
      <c r="D16" s="72">
        <f t="shared" si="2"/>
        <v>46083</v>
      </c>
      <c r="E16" s="72">
        <f t="shared" si="2"/>
        <v>46084</v>
      </c>
      <c r="F16" s="72">
        <f t="shared" si="2"/>
        <v>46085</v>
      </c>
      <c r="G16" s="72">
        <f t="shared" si="2"/>
        <v>46086</v>
      </c>
      <c r="H16" s="72">
        <f t="shared" si="2"/>
        <v>46087</v>
      </c>
      <c r="I16" s="72">
        <f t="shared" si="2"/>
        <v>46088</v>
      </c>
      <c r="J16" s="72">
        <f t="shared" si="2"/>
        <v>46089</v>
      </c>
      <c r="K16" s="72">
        <f t="shared" si="2"/>
        <v>46090</v>
      </c>
      <c r="L16" s="72">
        <f t="shared" si="2"/>
        <v>46091</v>
      </c>
      <c r="M16" s="72">
        <f t="shared" si="2"/>
        <v>46092</v>
      </c>
      <c r="N16" s="72">
        <f t="shared" si="2"/>
        <v>46093</v>
      </c>
      <c r="O16" s="72">
        <f t="shared" si="2"/>
        <v>46094</v>
      </c>
      <c r="P16" s="72">
        <f t="shared" si="2"/>
        <v>46095</v>
      </c>
      <c r="Q16" s="72">
        <f t="shared" si="2"/>
        <v>46096</v>
      </c>
      <c r="R16" s="72">
        <f t="shared" si="2"/>
        <v>46097</v>
      </c>
      <c r="S16" s="72">
        <f t="shared" si="2"/>
        <v>46098</v>
      </c>
      <c r="T16" s="72">
        <f t="shared" si="2"/>
        <v>46099</v>
      </c>
      <c r="U16" s="72">
        <f t="shared" si="2"/>
        <v>46100</v>
      </c>
      <c r="V16" s="72">
        <f t="shared" si="2"/>
        <v>46101</v>
      </c>
      <c r="W16" s="72">
        <f t="shared" si="2"/>
        <v>46102</v>
      </c>
      <c r="X16" s="72">
        <f t="shared" si="2"/>
        <v>46103</v>
      </c>
      <c r="Y16" s="72">
        <f t="shared" si="2"/>
        <v>46104</v>
      </c>
      <c r="Z16" s="72">
        <f t="shared" si="2"/>
        <v>46105</v>
      </c>
      <c r="AA16" s="72">
        <f t="shared" si="2"/>
        <v>46106</v>
      </c>
      <c r="AB16" s="72">
        <f t="shared" si="2"/>
        <v>46107</v>
      </c>
      <c r="AC16" s="72">
        <f t="shared" si="2"/>
        <v>46108</v>
      </c>
      <c r="AD16" s="72">
        <f t="shared" si="2"/>
        <v>46109</v>
      </c>
      <c r="AE16" s="72">
        <f t="shared" si="2"/>
        <v>46110</v>
      </c>
      <c r="AF16" s="72">
        <f t="shared" si="2"/>
        <v>46111</v>
      </c>
      <c r="AG16" s="72">
        <f t="shared" si="2"/>
        <v>46112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Sun</v>
      </c>
      <c r="D17" s="39" t="str">
        <f t="shared" ref="D17:AG17" si="3">TEXT(D16,"ddd")</f>
        <v>Mon</v>
      </c>
      <c r="E17" s="39" t="str">
        <f t="shared" si="3"/>
        <v>Tue</v>
      </c>
      <c r="F17" s="39" t="str">
        <f t="shared" si="3"/>
        <v>Wed</v>
      </c>
      <c r="G17" s="39" t="str">
        <f t="shared" si="3"/>
        <v>Thu</v>
      </c>
      <c r="H17" s="39" t="str">
        <f t="shared" si="3"/>
        <v>Fri</v>
      </c>
      <c r="I17" s="39" t="str">
        <f t="shared" si="3"/>
        <v>Sat</v>
      </c>
      <c r="J17" s="39" t="str">
        <f t="shared" si="3"/>
        <v>Sun</v>
      </c>
      <c r="K17" s="39" t="str">
        <f t="shared" si="3"/>
        <v>Mon</v>
      </c>
      <c r="L17" s="39" t="str">
        <f t="shared" si="3"/>
        <v>Tue</v>
      </c>
      <c r="M17" s="39" t="str">
        <f t="shared" si="3"/>
        <v>Wed</v>
      </c>
      <c r="N17" s="39" t="str">
        <f t="shared" si="3"/>
        <v>Thu</v>
      </c>
      <c r="O17" s="39" t="str">
        <f t="shared" si="3"/>
        <v>Fri</v>
      </c>
      <c r="P17" s="39" t="str">
        <f t="shared" si="3"/>
        <v>Sat</v>
      </c>
      <c r="Q17" s="39" t="str">
        <f t="shared" si="3"/>
        <v>Sun</v>
      </c>
      <c r="R17" s="39" t="str">
        <f t="shared" si="3"/>
        <v>Mon</v>
      </c>
      <c r="S17" s="39" t="str">
        <f t="shared" si="3"/>
        <v>Tue</v>
      </c>
      <c r="T17" s="39" t="str">
        <f t="shared" si="3"/>
        <v>Wed</v>
      </c>
      <c r="U17" s="39" t="str">
        <f t="shared" si="3"/>
        <v>Thu</v>
      </c>
      <c r="V17" s="39" t="str">
        <f t="shared" si="3"/>
        <v>Fri</v>
      </c>
      <c r="W17" s="39" t="str">
        <f t="shared" si="3"/>
        <v>Sat</v>
      </c>
      <c r="X17" s="39" t="str">
        <f t="shared" si="3"/>
        <v>Sun</v>
      </c>
      <c r="Y17" s="39" t="str">
        <f t="shared" si="3"/>
        <v>Mon</v>
      </c>
      <c r="Z17" s="39" t="str">
        <f t="shared" si="3"/>
        <v>Tue</v>
      </c>
      <c r="AA17" s="39" t="str">
        <f t="shared" si="3"/>
        <v>Wed</v>
      </c>
      <c r="AB17" s="39" t="str">
        <f t="shared" si="3"/>
        <v>Thu</v>
      </c>
      <c r="AC17" s="39" t="str">
        <f t="shared" si="3"/>
        <v>Fri</v>
      </c>
      <c r="AD17" s="39" t="str">
        <f t="shared" si="3"/>
        <v>Sat</v>
      </c>
      <c r="AE17" s="39" t="str">
        <f t="shared" si="3"/>
        <v>Sun</v>
      </c>
      <c r="AF17" s="39" t="str">
        <f t="shared" si="3"/>
        <v>Mon</v>
      </c>
      <c r="AG17" s="39" t="str">
        <f t="shared" si="3"/>
        <v>Tue</v>
      </c>
      <c r="AK17" s="85"/>
      <c r="AL17" s="85"/>
      <c r="AM17" s="85"/>
      <c r="AN17" s="83"/>
      <c r="AO17" s="83"/>
      <c r="AP17" s="83"/>
    </row>
    <row r="18" spans="1:42" ht="24.7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DO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HD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DO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HD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DO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HD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DO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HD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DO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D</v>
      </c>
      <c r="AK18" s="11" t="s">
        <v>118</v>
      </c>
      <c r="AL18" s="65">
        <f>SUMPRODUCT((C18:AG18="D")*8) + SUMPRODUCT((C18:AG18="E")*8) + SUMPRODUCT((C18:AG18="HD")*4)</f>
        <v>192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192</v>
      </c>
      <c r="AO18" s="67">
        <f>AN18-$AN$18</f>
        <v>0</v>
      </c>
      <c r="AP18" s="67">
        <f>AO18+Feb!AP18</f>
        <v>0</v>
      </c>
    </row>
    <row r="19" spans="1:42" ht="24.7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DO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DO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DO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DO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DO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AL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AL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AL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AL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AL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DO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DO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AL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AL</v>
      </c>
      <c r="AK19" s="11" t="s">
        <v>21</v>
      </c>
      <c r="AL19" s="65">
        <f t="shared" ref="AL19:AL26" si="4">SUMPRODUCT((C19:AG19="D")*8) + SUMPRODUCT((C19:AG19="E")*8) + SUMPRODUCT((C19:AG19="HD")*4)</f>
        <v>136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56</v>
      </c>
      <c r="AN19" s="68">
        <f t="shared" ref="AN19:AN31" si="5">AL19+AM19</f>
        <v>192</v>
      </c>
      <c r="AO19" s="67">
        <f t="shared" ref="AO19:AO31" si="6">AN19-$AN$18</f>
        <v>0</v>
      </c>
      <c r="AP19" s="67">
        <f>AO19+Feb!AP19</f>
        <v>-4</v>
      </c>
    </row>
    <row r="20" spans="1:42" ht="24.7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DO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HD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DO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HD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DO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HD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DO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HD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DO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D</v>
      </c>
      <c r="AK20" s="11" t="s">
        <v>119</v>
      </c>
      <c r="AL20" s="65">
        <f t="shared" si="4"/>
        <v>192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192</v>
      </c>
      <c r="AO20" s="67">
        <f t="shared" si="6"/>
        <v>0</v>
      </c>
      <c r="AP20" s="67">
        <f>AO20+Feb!AP20</f>
        <v>0</v>
      </c>
    </row>
    <row r="21" spans="1:42" ht="24.7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DO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E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E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DO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DO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E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E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DO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E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D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DO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DO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D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D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D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DO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DO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E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E</v>
      </c>
      <c r="AK21" s="11" t="s">
        <v>24</v>
      </c>
      <c r="AL21" s="65">
        <f t="shared" si="4"/>
        <v>184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184</v>
      </c>
      <c r="AO21" s="67">
        <f t="shared" si="6"/>
        <v>-8</v>
      </c>
      <c r="AP21" s="67">
        <f>AO21+Feb!AP21</f>
        <v>-12</v>
      </c>
    </row>
    <row r="22" spans="1:42" ht="24.7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DO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E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E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E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DO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E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E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D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DO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DO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E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E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E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DO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E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E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E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E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E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D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DO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D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D</v>
      </c>
      <c r="AK22" s="11" t="s">
        <v>22</v>
      </c>
      <c r="AL22" s="65">
        <f t="shared" si="4"/>
        <v>200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200</v>
      </c>
      <c r="AO22" s="67">
        <f t="shared" si="6"/>
        <v>8</v>
      </c>
      <c r="AP22" s="67">
        <f>AO22+Feb!AP22</f>
        <v>-4</v>
      </c>
    </row>
    <row r="23" spans="1:42" ht="24.7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DO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D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D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D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DO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DO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E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E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E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E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E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DO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D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D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DO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DO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D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DO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DO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E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E</v>
      </c>
      <c r="AK23" s="11" t="s">
        <v>23</v>
      </c>
      <c r="AL23" s="65">
        <f t="shared" si="4"/>
        <v>184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184</v>
      </c>
      <c r="AO23" s="67">
        <f t="shared" si="6"/>
        <v>-8</v>
      </c>
      <c r="AP23" s="67">
        <f>AO23+Feb!AP23</f>
        <v>-4</v>
      </c>
    </row>
    <row r="24" spans="1:42" ht="24.7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DO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E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E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E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E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E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DO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DO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DO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E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E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E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E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DO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E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E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E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E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D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DO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D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D</v>
      </c>
      <c r="AK24" s="11" t="s">
        <v>25</v>
      </c>
      <c r="AL24" s="65">
        <f t="shared" si="4"/>
        <v>200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200</v>
      </c>
      <c r="AO24" s="67">
        <f t="shared" si="6"/>
        <v>8</v>
      </c>
      <c r="AP24" s="67">
        <f>AO24+Feb!AP24</f>
        <v>12</v>
      </c>
    </row>
    <row r="25" spans="1:42" ht="24.7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DO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E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E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E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E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E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DO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DO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DO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E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E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E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E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DO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DO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DO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E</v>
      </c>
      <c r="AK25" s="11" t="s">
        <v>27</v>
      </c>
      <c r="AL25" s="65">
        <f t="shared" si="4"/>
        <v>192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192</v>
      </c>
      <c r="AO25" s="67">
        <f t="shared" si="6"/>
        <v>0</v>
      </c>
      <c r="AP25" s="67">
        <f>AO25+Feb!AP25</f>
        <v>4</v>
      </c>
    </row>
    <row r="26" spans="1:42" ht="24.7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DO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DO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DO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E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E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E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E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DO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D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DO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DO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E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E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E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E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E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DO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</v>
      </c>
      <c r="AK26" s="11" t="s">
        <v>26</v>
      </c>
      <c r="AL26" s="65">
        <f t="shared" si="4"/>
        <v>192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192</v>
      </c>
      <c r="AO26" s="67">
        <f t="shared" si="6"/>
        <v>0</v>
      </c>
      <c r="AP26" s="67">
        <f>AO26+Feb!AP26</f>
        <v>4</v>
      </c>
    </row>
    <row r="27" spans="1:42" ht="24.7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DO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DO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DO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HD2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DO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B6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DO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DO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HD2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DO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B6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AO27+Feb!AP27</f>
        <v>0</v>
      </c>
    </row>
    <row r="28" spans="1:42" ht="24.7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DO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HD2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DO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DO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DO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D1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HD2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DO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DO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DO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D1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AO28+Feb!AP28</f>
        <v>0</v>
      </c>
    </row>
    <row r="29" spans="1:42" ht="24.75" customHeight="1" thickBot="1">
      <c r="A29" s="26" t="s">
        <v>67</v>
      </c>
      <c r="B29" s="22" t="s">
        <v>68</v>
      </c>
      <c r="C29" s="40" t="str">
        <f>IF(COUNTIF(PH!$A:$A,C$16)&gt;0,"PH",
IF(AND(SUMPRODUCT(($B$9:$AG$10=IFERROR(VLOOKUP($B29,'On call stat'!$S$3:$T$20,2,FALSE),""))*($B$3:$AG$3=C$16))&gt;0,OR(WEEKDAY(C$16,2)=6,),OR($B29="Chan, Man Wai",$B29="Ng Suet Ping, Yoko",$B29="Li Mui Ying",$B29="Lee Ka Po, Kathy",$B29="Huang Huanrao, Yoyo")),"HDAL",
IF(OR(WEEKDAY(C$16,2)=7,AND(WEEKDAY(C$16,2)=6,SUMPRODUCT(($B$9:$AG$10=IFERROR(VLOOKUP($B29,'On call stat'!$S$3:$T$20,2,FALSE),""))*($B$3:$AG$3=C$16))&gt;0)),"DO",
IF(SUMPRODUCT(($B$9:$AG$10=IFERROR(VLOOKUP($B29,'On call stat'!$S$3:$T$20,2,FALSE),""))*($B$3:$AG$3=C$16))&gt;0,"AL",
IF(WEEKDAY(C$16,2)=6,
IF($B29="Chan, Man Wai","HD",
IF($B29="Ng Suet Ping, Yoko","HD",
IF($B29="Li Mui Ying","HD1",
IF($B29="Huang Huanrao, Yoyo",IF(MOD(C$13,2)=1,"HD2",IFERROR(IF(SUMPRODUCT(($B$3:$AG$3=C$16)*($B$5:$AG$7=VLOOKUP($B29,'On call stat'!$S$3:$T$10,2,FALSE)))&gt;0,"D","DO"),"DO")),
IF($B29="Lee Ka Po, Kathy",IF(MOD(C$13,2)=0,"HD2",IFERROR(IF(SUMPRODUCT(($B$3:$AG$3=C$16)*($B$5:$AG$7=VLOOKUP($B29,'On call stat'!$S$3:$T$10,2,FALSE)))&gt;0,"D","DO"),"DO")),
IF($B29="Fan Hoi Wan, Ivy",IF(MOD(C$13,2)=0,"D",IFERROR(IF(SUMPRODUCT(($B$3:$AG$3=C$16)*($B$5:$AG$7=VLOOKUP($B29,'On call stat'!$S$3:$T$10,2,FALSE)))&gt;0,"D","DO"),"DO")),
IFERROR(IF(SUMPRODUCT(($B$3:$AG$3=C$16)*($B$5:$AG$7=VLOOKUP($B29,'On call stat'!$S$3:$T$10,2,FALSE)))&gt;0,"D","DO"),"DO"))))))),
IF($B29="Huang Huanrao, Yoyo",IF(MOD(C$13,2)=1,"D1","B6"),
IF($B29="Lee Ka Po, Kathy",IF(MOD(C$13,2)=0,"D1","B6"),
IFERROR(IF(SUMPRODUCT(($B$3:$AG$3=C$16)*($B$5:$AG$7=VLOOKUP($B29,'On call stat'!$S$3:$T$10,2,FALSE)))&gt;0,"E","D"),"D"))))))))</f>
        <v>DO</v>
      </c>
      <c r="D29" s="40" t="str">
        <f>IF(COUNTIF(PH!$A:$A,D$16)&gt;0,"PH",
IF(AND(SUMPRODUCT(($B$9:$AG$10=IFERROR(VLOOKUP($B29,'On call stat'!$S$3:$T$20,2,FALSE),""))*($B$3:$AG$3=D$16))&gt;0,OR(WEEKDAY(D$16,2)=6,),OR($B29="Chan, Man Wai",$B29="Ng Suet Ping, Yoko",$B29="Li Mui Ying",$B29="Lee Ka Po, Kathy",$B29="Huang Huanrao, Yoyo")),"HDAL",
IF(OR(WEEKDAY(D$16,2)=7,AND(WEEKDAY(D$16,2)=6,SUMPRODUCT(($B$9:$AG$10=IFERROR(VLOOKUP($B29,'On call stat'!$S$3:$T$20,2,FALSE),""))*($B$3:$AG$3=D$16))&gt;0)),"DO",
IF(SUMPRODUCT(($B$9:$AG$10=IFERROR(VLOOKUP($B29,'On call stat'!$S$3:$T$20,2,FALSE),""))*($B$3:$AG$3=D$16))&gt;0,"AL",
IF(WEEKDAY(D$16,2)=6,
IF($B29="Chan, Man Wai","HD",
IF($B29="Ng Suet Ping, Yoko","HD",
IF($B29="Li Mui Ying","HD1",
IF($B29="Huang Huanrao, Yoyo",IF(MOD(D$13,2)=1,"HD2",IFERROR(IF(SUMPRODUCT(($B$3:$AG$3=D$16)*($B$5:$AG$7=VLOOKUP($B29,'On call stat'!$S$3:$T$10,2,FALSE)))&gt;0,"D","DO"),"DO")),
IF($B29="Lee Ka Po, Kathy",IF(MOD(D$13,2)=0,"HD2",IFERROR(IF(SUMPRODUCT(($B$3:$AG$3=D$16)*($B$5:$AG$7=VLOOKUP($B29,'On call stat'!$S$3:$T$10,2,FALSE)))&gt;0,"D","DO"),"DO")),
IF($B29="Fan Hoi Wan, Ivy",IF(MOD(D$13,2)=0,"D",IFERROR(IF(SUMPRODUCT(($B$3:$AG$3=D$16)*($B$5:$AG$7=VLOOKUP($B29,'On call stat'!$S$3:$T$10,2,FALSE)))&gt;0,"D","DO"),"DO")),
IFERROR(IF(SUMPRODUCT(($B$3:$AG$3=D$16)*($B$5:$AG$7=VLOOKUP($B29,'On call stat'!$S$3:$T$10,2,FALSE)))&gt;0,"D","DO"),"DO"))))))),
IF($B29="Huang Huanrao, Yoyo",IF(MOD(D$13,2)=1,"D1","B6"),
IF($B29="Lee Ka Po, Kathy",IF(MOD(D$13,2)=0,"D1","B6"),
IFERROR(IF(SUMPRODUCT(($B$3:$AG$3=D$16)*($B$5:$AG$7=VLOOKUP($B29,'On call stat'!$S$3:$T$10,2,FALSE)))&gt;0,"E","D"),"D"))))))))</f>
        <v>AL</v>
      </c>
      <c r="E29" s="40" t="str">
        <f>IF(COUNTIF(PH!$A:$A,E$16)&gt;0,"PH",
IF(AND(SUMPRODUCT(($B$9:$AG$10=IFERROR(VLOOKUP($B29,'On call stat'!$S$3:$T$20,2,FALSE),""))*($B$3:$AG$3=E$16))&gt;0,OR(WEEKDAY(E$16,2)=6,),OR($B29="Chan, Man Wai",$B29="Ng Suet Ping, Yoko",$B29="Li Mui Ying",$B29="Lee Ka Po, Kathy",$B29="Huang Huanrao, Yoyo")),"HDAL",
IF(OR(WEEKDAY(E$16,2)=7,AND(WEEKDAY(E$16,2)=6,SUMPRODUCT(($B$9:$AG$10=IFERROR(VLOOKUP($B29,'On call stat'!$S$3:$T$20,2,FALSE),""))*($B$3:$AG$3=E$16))&gt;0)),"DO",
IF(SUMPRODUCT(($B$9:$AG$10=IFERROR(VLOOKUP($B29,'On call stat'!$S$3:$T$20,2,FALSE),""))*($B$3:$AG$3=E$16))&gt;0,"AL",
IF(WEEKDAY(E$16,2)=6,
IF($B29="Chan, Man Wai","HD",
IF($B29="Ng Suet Ping, Yoko","HD",
IF($B29="Li Mui Ying","HD1",
IF($B29="Huang Huanrao, Yoyo",IF(MOD(E$13,2)=1,"HD2",IFERROR(IF(SUMPRODUCT(($B$3:$AG$3=E$16)*($B$5:$AG$7=VLOOKUP($B29,'On call stat'!$S$3:$T$10,2,FALSE)))&gt;0,"D","DO"),"DO")),
IF($B29="Lee Ka Po, Kathy",IF(MOD(E$13,2)=0,"HD2",IFERROR(IF(SUMPRODUCT(($B$3:$AG$3=E$16)*($B$5:$AG$7=VLOOKUP($B29,'On call stat'!$S$3:$T$10,2,FALSE)))&gt;0,"D","DO"),"DO")),
IF($B29="Fan Hoi Wan, Ivy",IF(MOD(E$13,2)=0,"D",IFERROR(IF(SUMPRODUCT(($B$3:$AG$3=E$16)*($B$5:$AG$7=VLOOKUP($B29,'On call stat'!$S$3:$T$10,2,FALSE)))&gt;0,"D","DO"),"DO")),
IFERROR(IF(SUMPRODUCT(($B$3:$AG$3=E$16)*($B$5:$AG$7=VLOOKUP($B29,'On call stat'!$S$3:$T$10,2,FALSE)))&gt;0,"D","DO"),"DO"))))))),
IF($B29="Huang Huanrao, Yoyo",IF(MOD(E$13,2)=1,"D1","B6"),
IF($B29="Lee Ka Po, Kathy",IF(MOD(E$13,2)=0,"D1","B6"),
IFERROR(IF(SUMPRODUCT(($B$3:$AG$3=E$16)*($B$5:$AG$7=VLOOKUP($B29,'On call stat'!$S$3:$T$10,2,FALSE)))&gt;0,"E","D"),"D"))))))))</f>
        <v>AL</v>
      </c>
      <c r="F29" s="40" t="str">
        <f>IF(COUNTIF(PH!$A:$A,F$16)&gt;0,"PH",
IF(AND(SUMPRODUCT(($B$9:$AG$10=IFERROR(VLOOKUP($B29,'On call stat'!$S$3:$T$20,2,FALSE),""))*($B$3:$AG$3=F$16))&gt;0,OR(WEEKDAY(F$16,2)=6,),OR($B29="Chan, Man Wai",$B29="Ng Suet Ping, Yoko",$B29="Li Mui Ying",$B29="Lee Ka Po, Kathy",$B29="Huang Huanrao, Yoyo")),"HDAL",
IF(OR(WEEKDAY(F$16,2)=7,AND(WEEKDAY(F$16,2)=6,SUMPRODUCT(($B$9:$AG$10=IFERROR(VLOOKUP($B29,'On call stat'!$S$3:$T$20,2,FALSE),""))*($B$3:$AG$3=F$16))&gt;0)),"DO",
IF(SUMPRODUCT(($B$9:$AG$10=IFERROR(VLOOKUP($B29,'On call stat'!$S$3:$T$20,2,FALSE),""))*($B$3:$AG$3=F$16))&gt;0,"AL",
IF(WEEKDAY(F$16,2)=6,
IF($B29="Chan, Man Wai","HD",
IF($B29="Ng Suet Ping, Yoko","HD",
IF($B29="Li Mui Ying","HD1",
IF($B29="Huang Huanrao, Yoyo",IF(MOD(F$13,2)=1,"HD2",IFERROR(IF(SUMPRODUCT(($B$3:$AG$3=F$16)*($B$5:$AG$7=VLOOKUP($B29,'On call stat'!$S$3:$T$10,2,FALSE)))&gt;0,"D","DO"),"DO")),
IF($B29="Lee Ka Po, Kathy",IF(MOD(F$13,2)=0,"HD2",IFERROR(IF(SUMPRODUCT(($B$3:$AG$3=F$16)*($B$5:$AG$7=VLOOKUP($B29,'On call stat'!$S$3:$T$10,2,FALSE)))&gt;0,"D","DO"),"DO")),
IF($B29="Fan Hoi Wan, Ivy",IF(MOD(F$13,2)=0,"D",IFERROR(IF(SUMPRODUCT(($B$3:$AG$3=F$16)*($B$5:$AG$7=VLOOKUP($B29,'On call stat'!$S$3:$T$10,2,FALSE)))&gt;0,"D","DO"),"DO")),
IFERROR(IF(SUMPRODUCT(($B$3:$AG$3=F$16)*($B$5:$AG$7=VLOOKUP($B29,'On call stat'!$S$3:$T$10,2,FALSE)))&gt;0,"D","DO"),"DO"))))))),
IF($B29="Huang Huanrao, Yoyo",IF(MOD(F$13,2)=1,"D1","B6"),
IF($B29="Lee Ka Po, Kathy",IF(MOD(F$13,2)=0,"D1","B6"),
IFERROR(IF(SUMPRODUCT(($B$3:$AG$3=F$16)*($B$5:$AG$7=VLOOKUP($B29,'On call stat'!$S$3:$T$10,2,FALSE)))&gt;0,"E","D"),"D"))))))))</f>
        <v>AL</v>
      </c>
      <c r="G29" s="40" t="str">
        <f>IF(COUNTIF(PH!$A:$A,G$16)&gt;0,"PH",
IF(AND(SUMPRODUCT(($B$9:$AG$10=IFERROR(VLOOKUP($B29,'On call stat'!$S$3:$T$20,2,FALSE),""))*($B$3:$AG$3=G$16))&gt;0,OR(WEEKDAY(G$16,2)=6,),OR($B29="Chan, Man Wai",$B29="Ng Suet Ping, Yoko",$B29="Li Mui Ying",$B29="Lee Ka Po, Kathy",$B29="Huang Huanrao, Yoyo")),"HDAL",
IF(OR(WEEKDAY(G$16,2)=7,AND(WEEKDAY(G$16,2)=6,SUMPRODUCT(($B$9:$AG$10=IFERROR(VLOOKUP($B29,'On call stat'!$S$3:$T$20,2,FALSE),""))*($B$3:$AG$3=G$16))&gt;0)),"DO",
IF(SUMPRODUCT(($B$9:$AG$10=IFERROR(VLOOKUP($B29,'On call stat'!$S$3:$T$20,2,FALSE),""))*($B$3:$AG$3=G$16))&gt;0,"AL",
IF(WEEKDAY(G$16,2)=6,
IF($B29="Chan, Man Wai","HD",
IF($B29="Ng Suet Ping, Yoko","HD",
IF($B29="Li Mui Ying","HD1",
IF($B29="Huang Huanrao, Yoyo",IF(MOD(G$13,2)=1,"HD2",IFERROR(IF(SUMPRODUCT(($B$3:$AG$3=G$16)*($B$5:$AG$7=VLOOKUP($B29,'On call stat'!$S$3:$T$10,2,FALSE)))&gt;0,"D","DO"),"DO")),
IF($B29="Lee Ka Po, Kathy",IF(MOD(G$13,2)=0,"HD2",IFERROR(IF(SUMPRODUCT(($B$3:$AG$3=G$16)*($B$5:$AG$7=VLOOKUP($B29,'On call stat'!$S$3:$T$10,2,FALSE)))&gt;0,"D","DO"),"DO")),
IF($B29="Fan Hoi Wan, Ivy",IF(MOD(G$13,2)=0,"D",IFERROR(IF(SUMPRODUCT(($B$3:$AG$3=G$16)*($B$5:$AG$7=VLOOKUP($B29,'On call stat'!$S$3:$T$10,2,FALSE)))&gt;0,"D","DO"),"DO")),
IFERROR(IF(SUMPRODUCT(($B$3:$AG$3=G$16)*($B$5:$AG$7=VLOOKUP($B29,'On call stat'!$S$3:$T$10,2,FALSE)))&gt;0,"D","DO"),"DO"))))))),
IF($B29="Huang Huanrao, Yoyo",IF(MOD(G$13,2)=1,"D1","B6"),
IF($B29="Lee Ka Po, Kathy",IF(MOD(G$13,2)=0,"D1","B6"),
IFERROR(IF(SUMPRODUCT(($B$3:$AG$3=G$16)*($B$5:$AG$7=VLOOKUP($B29,'On call stat'!$S$3:$T$10,2,FALSE)))&gt;0,"E","D"),"D"))))))))</f>
        <v>AL</v>
      </c>
      <c r="H29" s="40" t="str">
        <f>IF(COUNTIF(PH!$A:$A,H$16)&gt;0,"PH",
IF(AND(SUMPRODUCT(($B$9:$AG$10=IFERROR(VLOOKUP($B29,'On call stat'!$S$3:$T$20,2,FALSE),""))*($B$3:$AG$3=H$16))&gt;0,OR(WEEKDAY(H$16,2)=6,),OR($B29="Chan, Man Wai",$B29="Ng Suet Ping, Yoko",$B29="Li Mui Ying",$B29="Lee Ka Po, Kathy",$B29="Huang Huanrao, Yoyo")),"HDAL",
IF(OR(WEEKDAY(H$16,2)=7,AND(WEEKDAY(H$16,2)=6,SUMPRODUCT(($B$9:$AG$10=IFERROR(VLOOKUP($B29,'On call stat'!$S$3:$T$20,2,FALSE),""))*($B$3:$AG$3=H$16))&gt;0)),"DO",
IF(SUMPRODUCT(($B$9:$AG$10=IFERROR(VLOOKUP($B29,'On call stat'!$S$3:$T$20,2,FALSE),""))*($B$3:$AG$3=H$16))&gt;0,"AL",
IF(WEEKDAY(H$16,2)=6,
IF($B29="Chan, Man Wai","HD",
IF($B29="Ng Suet Ping, Yoko","HD",
IF($B29="Li Mui Ying","HD1",
IF($B29="Huang Huanrao, Yoyo",IF(MOD(H$13,2)=1,"HD2",IFERROR(IF(SUMPRODUCT(($B$3:$AG$3=H$16)*($B$5:$AG$7=VLOOKUP($B29,'On call stat'!$S$3:$T$10,2,FALSE)))&gt;0,"D","DO"),"DO")),
IF($B29="Lee Ka Po, Kathy",IF(MOD(H$13,2)=0,"HD2",IFERROR(IF(SUMPRODUCT(($B$3:$AG$3=H$16)*($B$5:$AG$7=VLOOKUP($B29,'On call stat'!$S$3:$T$10,2,FALSE)))&gt;0,"D","DO"),"DO")),
IF($B29="Fan Hoi Wan, Ivy",IF(MOD(H$13,2)=0,"D",IFERROR(IF(SUMPRODUCT(($B$3:$AG$3=H$16)*($B$5:$AG$7=VLOOKUP($B29,'On call stat'!$S$3:$T$10,2,FALSE)))&gt;0,"D","DO"),"DO")),
IFERROR(IF(SUMPRODUCT(($B$3:$AG$3=H$16)*($B$5:$AG$7=VLOOKUP($B29,'On call stat'!$S$3:$T$10,2,FALSE)))&gt;0,"D","DO"),"DO"))))))),
IF($B29="Huang Huanrao, Yoyo",IF(MOD(H$13,2)=1,"D1","B6"),
IF($B29="Lee Ka Po, Kathy",IF(MOD(H$13,2)=0,"D1","B6"),
IFERROR(IF(SUMPRODUCT(($B$3:$AG$3=H$16)*($B$5:$AG$7=VLOOKUP($B29,'On call stat'!$S$3:$T$10,2,FALSE)))&gt;0,"E","D"),"D"))))))))</f>
        <v>AL</v>
      </c>
      <c r="I29" s="40" t="str">
        <f>IF(COUNTIF(PH!$A:$A,I$16)&gt;0,"PH",
IF(AND(SUMPRODUCT(($B$9:$AG$10=IFERROR(VLOOKUP($B29,'On call stat'!$S$3:$T$20,2,FALSE),""))*($B$3:$AG$3=I$16))&gt;0,OR(WEEKDAY(I$16,2)=6,),OR($B29="Chan, Man Wai",$B29="Ng Suet Ping, Yoko",$B29="Li Mui Ying",$B29="Lee Ka Po, Kathy",$B29="Huang Huanrao, Yoyo")),"HDAL",
IF(OR(WEEKDAY(I$16,2)=7,AND(WEEKDAY(I$16,2)=6,SUMPRODUCT(($B$9:$AG$10=IFERROR(VLOOKUP($B29,'On call stat'!$S$3:$T$20,2,FALSE),""))*($B$3:$AG$3=I$16))&gt;0)),"DO",
IF(SUMPRODUCT(($B$9:$AG$10=IFERROR(VLOOKUP($B29,'On call stat'!$S$3:$T$20,2,FALSE),""))*($B$3:$AG$3=I$16))&gt;0,"AL",
IF(WEEKDAY(I$16,2)=6,
IF($B29="Chan, Man Wai","HD",
IF($B29="Ng Suet Ping, Yoko","HD",
IF($B29="Li Mui Ying","HD1",
IF($B29="Huang Huanrao, Yoyo",IF(MOD(I$13,2)=1,"HD2",IFERROR(IF(SUMPRODUCT(($B$3:$AG$3=I$16)*($B$5:$AG$7=VLOOKUP($B29,'On call stat'!$S$3:$T$10,2,FALSE)))&gt;0,"D","DO"),"DO")),
IF($B29="Lee Ka Po, Kathy",IF(MOD(I$13,2)=0,"HD2",IFERROR(IF(SUMPRODUCT(($B$3:$AG$3=I$16)*($B$5:$AG$7=VLOOKUP($B29,'On call stat'!$S$3:$T$10,2,FALSE)))&gt;0,"D","DO"),"DO")),
IF($B29="Fan Hoi Wan, Ivy",IF(MOD(I$13,2)=0,"D",IFERROR(IF(SUMPRODUCT(($B$3:$AG$3=I$16)*($B$5:$AG$7=VLOOKUP($B29,'On call stat'!$S$3:$T$10,2,FALSE)))&gt;0,"D","DO"),"DO")),
IFERROR(IF(SUMPRODUCT(($B$3:$AG$3=I$16)*($B$5:$AG$7=VLOOKUP($B29,'On call stat'!$S$3:$T$10,2,FALSE)))&gt;0,"D","DO"),"DO"))))))),
IF($B29="Huang Huanrao, Yoyo",IF(MOD(I$13,2)=1,"D1","B6"),
IF($B29="Lee Ka Po, Kathy",IF(MOD(I$13,2)=0,"D1","B6"),
IFERROR(IF(SUMPRODUCT(($B$3:$AG$3=I$16)*($B$5:$AG$7=VLOOKUP($B29,'On call stat'!$S$3:$T$10,2,FALSE)))&gt;0,"E","D"),"D"))))))))</f>
        <v>DO</v>
      </c>
      <c r="J29" s="40" t="str">
        <f>IF(COUNTIF(PH!$A:$A,J$16)&gt;0,"PH",
IF(AND(SUMPRODUCT(($B$9:$AG$10=IFERROR(VLOOKUP($B29,'On call stat'!$S$3:$T$20,2,FALSE),""))*($B$3:$AG$3=J$16))&gt;0,OR(WEEKDAY(J$16,2)=6,),OR($B29="Chan, Man Wai",$B29="Ng Suet Ping, Yoko",$B29="Li Mui Ying",$B29="Lee Ka Po, Kathy",$B29="Huang Huanrao, Yoyo")),"HDAL",
IF(OR(WEEKDAY(J$16,2)=7,AND(WEEKDAY(J$16,2)=6,SUMPRODUCT(($B$9:$AG$10=IFERROR(VLOOKUP($B29,'On call stat'!$S$3:$T$20,2,FALSE),""))*($B$3:$AG$3=J$16))&gt;0)),"DO",
IF(SUMPRODUCT(($B$9:$AG$10=IFERROR(VLOOKUP($B29,'On call stat'!$S$3:$T$20,2,FALSE),""))*($B$3:$AG$3=J$16))&gt;0,"AL",
IF(WEEKDAY(J$16,2)=6,
IF($B29="Chan, Man Wai","HD",
IF($B29="Ng Suet Ping, Yoko","HD",
IF($B29="Li Mui Ying","HD1",
IF($B29="Huang Huanrao, Yoyo",IF(MOD(J$13,2)=1,"HD2",IFERROR(IF(SUMPRODUCT(($B$3:$AG$3=J$16)*($B$5:$AG$7=VLOOKUP($B29,'On call stat'!$S$3:$T$10,2,FALSE)))&gt;0,"D","DO"),"DO")),
IF($B29="Lee Ka Po, Kathy",IF(MOD(J$13,2)=0,"HD2",IFERROR(IF(SUMPRODUCT(($B$3:$AG$3=J$16)*($B$5:$AG$7=VLOOKUP($B29,'On call stat'!$S$3:$T$10,2,FALSE)))&gt;0,"D","DO"),"DO")),
IF($B29="Fan Hoi Wan, Ivy",IF(MOD(J$13,2)=0,"D",IFERROR(IF(SUMPRODUCT(($B$3:$AG$3=J$16)*($B$5:$AG$7=VLOOKUP($B29,'On call stat'!$S$3:$T$10,2,FALSE)))&gt;0,"D","DO"),"DO")),
IFERROR(IF(SUMPRODUCT(($B$3:$AG$3=J$16)*($B$5:$AG$7=VLOOKUP($B29,'On call stat'!$S$3:$T$10,2,FALSE)))&gt;0,"D","DO"),"DO"))))))),
IF($B29="Huang Huanrao, Yoyo",IF(MOD(J$13,2)=1,"D1","B6"),
IF($B29="Lee Ka Po, Kathy",IF(MOD(J$13,2)=0,"D1","B6"),
IFERROR(IF(SUMPRODUCT(($B$3:$AG$3=J$16)*($B$5:$AG$7=VLOOKUP($B29,'On call stat'!$S$3:$T$10,2,FALSE)))&gt;0,"E","D"),"D"))))))))</f>
        <v>DO</v>
      </c>
      <c r="K29" s="40" t="str">
        <f>IF(COUNTIF(PH!$A:$A,K$16)&gt;0,"PH",
IF(AND(SUMPRODUCT(($B$9:$AG$10=IFERROR(VLOOKUP($B29,'On call stat'!$S$3:$T$20,2,FALSE),""))*($B$3:$AG$3=K$16))&gt;0,OR(WEEKDAY(K$16,2)=6,),OR($B29="Chan, Man Wai",$B29="Ng Suet Ping, Yoko",$B29="Li Mui Ying",$B29="Lee Ka Po, Kathy",$B29="Huang Huanrao, Yoyo")),"HDAL",
IF(OR(WEEKDAY(K$16,2)=7,AND(WEEKDAY(K$16,2)=6,SUMPRODUCT(($B$9:$AG$10=IFERROR(VLOOKUP($B29,'On call stat'!$S$3:$T$20,2,FALSE),""))*($B$3:$AG$3=K$16))&gt;0)),"DO",
IF(SUMPRODUCT(($B$9:$AG$10=IFERROR(VLOOKUP($B29,'On call stat'!$S$3:$T$20,2,FALSE),""))*($B$3:$AG$3=K$16))&gt;0,"AL",
IF(WEEKDAY(K$16,2)=6,
IF($B29="Chan, Man Wai","HD",
IF($B29="Ng Suet Ping, Yoko","HD",
IF($B29="Li Mui Ying","HD1",
IF($B29="Huang Huanrao, Yoyo",IF(MOD(K$13,2)=1,"HD2",IFERROR(IF(SUMPRODUCT(($B$3:$AG$3=K$16)*($B$5:$AG$7=VLOOKUP($B29,'On call stat'!$S$3:$T$10,2,FALSE)))&gt;0,"D","DO"),"DO")),
IF($B29="Lee Ka Po, Kathy",IF(MOD(K$13,2)=0,"HD2",IFERROR(IF(SUMPRODUCT(($B$3:$AG$3=K$16)*($B$5:$AG$7=VLOOKUP($B29,'On call stat'!$S$3:$T$10,2,FALSE)))&gt;0,"D","DO"),"DO")),
IF($B29="Fan Hoi Wan, Ivy",IF(MOD(K$13,2)=0,"D",IFERROR(IF(SUMPRODUCT(($B$3:$AG$3=K$16)*($B$5:$AG$7=VLOOKUP($B29,'On call stat'!$S$3:$T$10,2,FALSE)))&gt;0,"D","DO"),"DO")),
IFERROR(IF(SUMPRODUCT(($B$3:$AG$3=K$16)*($B$5:$AG$7=VLOOKUP($B29,'On call stat'!$S$3:$T$10,2,FALSE)))&gt;0,"D","DO"),"DO"))))))),
IF($B29="Huang Huanrao, Yoyo",IF(MOD(K$13,2)=1,"D1","B6"),
IF($B29="Lee Ka Po, Kathy",IF(MOD(K$13,2)=0,"D1","B6"),
IFERROR(IF(SUMPRODUCT(($B$3:$AG$3=K$16)*($B$5:$AG$7=VLOOKUP($B29,'On call stat'!$S$3:$T$10,2,FALSE)))&gt;0,"E","D"),"D"))))))))</f>
        <v>AL</v>
      </c>
      <c r="L29" s="40" t="str">
        <f>IF(COUNTIF(PH!$A:$A,L$16)&gt;0,"PH",
IF(AND(SUMPRODUCT(($B$9:$AG$10=IFERROR(VLOOKUP($B29,'On call stat'!$S$3:$T$20,2,FALSE),""))*($B$3:$AG$3=L$16))&gt;0,OR(WEEKDAY(L$16,2)=6,),OR($B29="Chan, Man Wai",$B29="Ng Suet Ping, Yoko",$B29="Li Mui Ying",$B29="Lee Ka Po, Kathy",$B29="Huang Huanrao, Yoyo")),"HDAL",
IF(OR(WEEKDAY(L$16,2)=7,AND(WEEKDAY(L$16,2)=6,SUMPRODUCT(($B$9:$AG$10=IFERROR(VLOOKUP($B29,'On call stat'!$S$3:$T$20,2,FALSE),""))*($B$3:$AG$3=L$16))&gt;0)),"DO",
IF(SUMPRODUCT(($B$9:$AG$10=IFERROR(VLOOKUP($B29,'On call stat'!$S$3:$T$20,2,FALSE),""))*($B$3:$AG$3=L$16))&gt;0,"AL",
IF(WEEKDAY(L$16,2)=6,
IF($B29="Chan, Man Wai","HD",
IF($B29="Ng Suet Ping, Yoko","HD",
IF($B29="Li Mui Ying","HD1",
IF($B29="Huang Huanrao, Yoyo",IF(MOD(L$13,2)=1,"HD2",IFERROR(IF(SUMPRODUCT(($B$3:$AG$3=L$16)*($B$5:$AG$7=VLOOKUP($B29,'On call stat'!$S$3:$T$10,2,FALSE)))&gt;0,"D","DO"),"DO")),
IF($B29="Lee Ka Po, Kathy",IF(MOD(L$13,2)=0,"HD2",IFERROR(IF(SUMPRODUCT(($B$3:$AG$3=L$16)*($B$5:$AG$7=VLOOKUP($B29,'On call stat'!$S$3:$T$10,2,FALSE)))&gt;0,"D","DO"),"DO")),
IF($B29="Fan Hoi Wan, Ivy",IF(MOD(L$13,2)=0,"D",IFERROR(IF(SUMPRODUCT(($B$3:$AG$3=L$16)*($B$5:$AG$7=VLOOKUP($B29,'On call stat'!$S$3:$T$10,2,FALSE)))&gt;0,"D","DO"),"DO")),
IFERROR(IF(SUMPRODUCT(($B$3:$AG$3=L$16)*($B$5:$AG$7=VLOOKUP($B29,'On call stat'!$S$3:$T$10,2,FALSE)))&gt;0,"D","DO"),"DO"))))))),
IF($B29="Huang Huanrao, Yoyo",IF(MOD(L$13,2)=1,"D1","B6"),
IF($B29="Lee Ka Po, Kathy",IF(MOD(L$13,2)=0,"D1","B6"),
IFERROR(IF(SUMPRODUCT(($B$3:$AG$3=L$16)*($B$5:$AG$7=VLOOKUP($B29,'On call stat'!$S$3:$T$10,2,FALSE)))&gt;0,"E","D"),"D"))))))))</f>
        <v>AL</v>
      </c>
      <c r="M29" s="40" t="str">
        <f>IF(COUNTIF(PH!$A:$A,M$16)&gt;0,"PH",
IF(AND(SUMPRODUCT(($B$9:$AG$10=IFERROR(VLOOKUP($B29,'On call stat'!$S$3:$T$20,2,FALSE),""))*($B$3:$AG$3=M$16))&gt;0,OR(WEEKDAY(M$16,2)=6,),OR($B29="Chan, Man Wai",$B29="Ng Suet Ping, Yoko",$B29="Li Mui Ying",$B29="Lee Ka Po, Kathy",$B29="Huang Huanrao, Yoyo")),"HDAL",
IF(OR(WEEKDAY(M$16,2)=7,AND(WEEKDAY(M$16,2)=6,SUMPRODUCT(($B$9:$AG$10=IFERROR(VLOOKUP($B29,'On call stat'!$S$3:$T$20,2,FALSE),""))*($B$3:$AG$3=M$16))&gt;0)),"DO",
IF(SUMPRODUCT(($B$9:$AG$10=IFERROR(VLOOKUP($B29,'On call stat'!$S$3:$T$20,2,FALSE),""))*($B$3:$AG$3=M$16))&gt;0,"AL",
IF(WEEKDAY(M$16,2)=6,
IF($B29="Chan, Man Wai","HD",
IF($B29="Ng Suet Ping, Yoko","HD",
IF($B29="Li Mui Ying","HD1",
IF($B29="Huang Huanrao, Yoyo",IF(MOD(M$13,2)=1,"HD2",IFERROR(IF(SUMPRODUCT(($B$3:$AG$3=M$16)*($B$5:$AG$7=VLOOKUP($B29,'On call stat'!$S$3:$T$10,2,FALSE)))&gt;0,"D","DO"),"DO")),
IF($B29="Lee Ka Po, Kathy",IF(MOD(M$13,2)=0,"HD2",IFERROR(IF(SUMPRODUCT(($B$3:$AG$3=M$16)*($B$5:$AG$7=VLOOKUP($B29,'On call stat'!$S$3:$T$10,2,FALSE)))&gt;0,"D","DO"),"DO")),
IF($B29="Fan Hoi Wan, Ivy",IF(MOD(M$13,2)=0,"D",IFERROR(IF(SUMPRODUCT(($B$3:$AG$3=M$16)*($B$5:$AG$7=VLOOKUP($B29,'On call stat'!$S$3:$T$10,2,FALSE)))&gt;0,"D","DO"),"DO")),
IFERROR(IF(SUMPRODUCT(($B$3:$AG$3=M$16)*($B$5:$AG$7=VLOOKUP($B29,'On call stat'!$S$3:$T$10,2,FALSE)))&gt;0,"D","DO"),"DO"))))))),
IF($B29="Huang Huanrao, Yoyo",IF(MOD(M$13,2)=1,"D1","B6"),
IF($B29="Lee Ka Po, Kathy",IF(MOD(M$13,2)=0,"D1","B6"),
IFERROR(IF(SUMPRODUCT(($B$3:$AG$3=M$16)*($B$5:$AG$7=VLOOKUP($B29,'On call stat'!$S$3:$T$10,2,FALSE)))&gt;0,"E","D"),"D"))))))))</f>
        <v>AL</v>
      </c>
      <c r="N29" s="40" t="str">
        <f>IF(COUNTIF(PH!$A:$A,N$16)&gt;0,"PH",
IF(AND(SUMPRODUCT(($B$9:$AG$10=IFERROR(VLOOKUP($B29,'On call stat'!$S$3:$T$20,2,FALSE),""))*($B$3:$AG$3=N$16))&gt;0,OR(WEEKDAY(N$16,2)=6,),OR($B29="Chan, Man Wai",$B29="Ng Suet Ping, Yoko",$B29="Li Mui Ying",$B29="Lee Ka Po, Kathy",$B29="Huang Huanrao, Yoyo")),"HDAL",
IF(OR(WEEKDAY(N$16,2)=7,AND(WEEKDAY(N$16,2)=6,SUMPRODUCT(($B$9:$AG$10=IFERROR(VLOOKUP($B29,'On call stat'!$S$3:$T$20,2,FALSE),""))*($B$3:$AG$3=N$16))&gt;0)),"DO",
IF(SUMPRODUCT(($B$9:$AG$10=IFERROR(VLOOKUP($B29,'On call stat'!$S$3:$T$20,2,FALSE),""))*($B$3:$AG$3=N$16))&gt;0,"AL",
IF(WEEKDAY(N$16,2)=6,
IF($B29="Chan, Man Wai","HD",
IF($B29="Ng Suet Ping, Yoko","HD",
IF($B29="Li Mui Ying","HD1",
IF($B29="Huang Huanrao, Yoyo",IF(MOD(N$13,2)=1,"HD2",IFERROR(IF(SUMPRODUCT(($B$3:$AG$3=N$16)*($B$5:$AG$7=VLOOKUP($B29,'On call stat'!$S$3:$T$10,2,FALSE)))&gt;0,"D","DO"),"DO")),
IF($B29="Lee Ka Po, Kathy",IF(MOD(N$13,2)=0,"HD2",IFERROR(IF(SUMPRODUCT(($B$3:$AG$3=N$16)*($B$5:$AG$7=VLOOKUP($B29,'On call stat'!$S$3:$T$10,2,FALSE)))&gt;0,"D","DO"),"DO")),
IF($B29="Fan Hoi Wan, Ivy",IF(MOD(N$13,2)=0,"D",IFERROR(IF(SUMPRODUCT(($B$3:$AG$3=N$16)*($B$5:$AG$7=VLOOKUP($B29,'On call stat'!$S$3:$T$10,2,FALSE)))&gt;0,"D","DO"),"DO")),
IFERROR(IF(SUMPRODUCT(($B$3:$AG$3=N$16)*($B$5:$AG$7=VLOOKUP($B29,'On call stat'!$S$3:$T$10,2,FALSE)))&gt;0,"D","DO"),"DO"))))))),
IF($B29="Huang Huanrao, Yoyo",IF(MOD(N$13,2)=1,"D1","B6"),
IF($B29="Lee Ka Po, Kathy",IF(MOD(N$13,2)=0,"D1","B6"),
IFERROR(IF(SUMPRODUCT(($B$3:$AG$3=N$16)*($B$5:$AG$7=VLOOKUP($B29,'On call stat'!$S$3:$T$10,2,FALSE)))&gt;0,"E","D"),"D"))))))))</f>
        <v>AL</v>
      </c>
      <c r="O29" s="40" t="str">
        <f>IF(COUNTIF(PH!$A:$A,O$16)&gt;0,"PH",
IF(AND(SUMPRODUCT(($B$9:$AG$10=IFERROR(VLOOKUP($B29,'On call stat'!$S$3:$T$20,2,FALSE),""))*($B$3:$AG$3=O$16))&gt;0,OR(WEEKDAY(O$16,2)=6,),OR($B29="Chan, Man Wai",$B29="Ng Suet Ping, Yoko",$B29="Li Mui Ying",$B29="Lee Ka Po, Kathy",$B29="Huang Huanrao, Yoyo")),"HDAL",
IF(OR(WEEKDAY(O$16,2)=7,AND(WEEKDAY(O$16,2)=6,SUMPRODUCT(($B$9:$AG$10=IFERROR(VLOOKUP($B29,'On call stat'!$S$3:$T$20,2,FALSE),""))*($B$3:$AG$3=O$16))&gt;0)),"DO",
IF(SUMPRODUCT(($B$9:$AG$10=IFERROR(VLOOKUP($B29,'On call stat'!$S$3:$T$20,2,FALSE),""))*($B$3:$AG$3=O$16))&gt;0,"AL",
IF(WEEKDAY(O$16,2)=6,
IF($B29="Chan, Man Wai","HD",
IF($B29="Ng Suet Ping, Yoko","HD",
IF($B29="Li Mui Ying","HD1",
IF($B29="Huang Huanrao, Yoyo",IF(MOD(O$13,2)=1,"HD2",IFERROR(IF(SUMPRODUCT(($B$3:$AG$3=O$16)*($B$5:$AG$7=VLOOKUP($B29,'On call stat'!$S$3:$T$10,2,FALSE)))&gt;0,"D","DO"),"DO")),
IF($B29="Lee Ka Po, Kathy",IF(MOD(O$13,2)=0,"HD2",IFERROR(IF(SUMPRODUCT(($B$3:$AG$3=O$16)*($B$5:$AG$7=VLOOKUP($B29,'On call stat'!$S$3:$T$10,2,FALSE)))&gt;0,"D","DO"),"DO")),
IF($B29="Fan Hoi Wan, Ivy",IF(MOD(O$13,2)=0,"D",IFERROR(IF(SUMPRODUCT(($B$3:$AG$3=O$16)*($B$5:$AG$7=VLOOKUP($B29,'On call stat'!$S$3:$T$10,2,FALSE)))&gt;0,"D","DO"),"DO")),
IFERROR(IF(SUMPRODUCT(($B$3:$AG$3=O$16)*($B$5:$AG$7=VLOOKUP($B29,'On call stat'!$S$3:$T$10,2,FALSE)))&gt;0,"D","DO"),"DO"))))))),
IF($B29="Huang Huanrao, Yoyo",IF(MOD(O$13,2)=1,"D1","B6"),
IF($B29="Lee Ka Po, Kathy",IF(MOD(O$13,2)=0,"D1","B6"),
IFERROR(IF(SUMPRODUCT(($B$3:$AG$3=O$16)*($B$5:$AG$7=VLOOKUP($B29,'On call stat'!$S$3:$T$10,2,FALSE)))&gt;0,"E","D"),"D"))))))))</f>
        <v>AL</v>
      </c>
      <c r="P29" s="40" t="str">
        <f>IF(COUNTIF(PH!$A:$A,P$16)&gt;0,"PH",
IF(AND(SUMPRODUCT(($B$9:$AG$10=IFERROR(VLOOKUP($B29,'On call stat'!$S$3:$T$20,2,FALSE),""))*($B$3:$AG$3=P$16))&gt;0,OR(WEEKDAY(P$16,2)=6,),OR($B29="Chan, Man Wai",$B29="Ng Suet Ping, Yoko",$B29="Li Mui Ying",$B29="Lee Ka Po, Kathy",$B29="Huang Huanrao, Yoyo")),"HDAL",
IF(OR(WEEKDAY(P$16,2)=7,AND(WEEKDAY(P$16,2)=6,SUMPRODUCT(($B$9:$AG$10=IFERROR(VLOOKUP($B29,'On call stat'!$S$3:$T$20,2,FALSE),""))*($B$3:$AG$3=P$16))&gt;0)),"DO",
IF(SUMPRODUCT(($B$9:$AG$10=IFERROR(VLOOKUP($B29,'On call stat'!$S$3:$T$20,2,FALSE),""))*($B$3:$AG$3=P$16))&gt;0,"AL",
IF(WEEKDAY(P$16,2)=6,
IF($B29="Chan, Man Wai","HD",
IF($B29="Ng Suet Ping, Yoko","HD",
IF($B29="Li Mui Ying","HD1",
IF($B29="Huang Huanrao, Yoyo",IF(MOD(P$13,2)=1,"HD2",IFERROR(IF(SUMPRODUCT(($B$3:$AG$3=P$16)*($B$5:$AG$7=VLOOKUP($B29,'On call stat'!$S$3:$T$10,2,FALSE)))&gt;0,"D","DO"),"DO")),
IF($B29="Lee Ka Po, Kathy",IF(MOD(P$13,2)=0,"HD2",IFERROR(IF(SUMPRODUCT(($B$3:$AG$3=P$16)*($B$5:$AG$7=VLOOKUP($B29,'On call stat'!$S$3:$T$10,2,FALSE)))&gt;0,"D","DO"),"DO")),
IF($B29="Fan Hoi Wan, Ivy",IF(MOD(P$13,2)=0,"D",IFERROR(IF(SUMPRODUCT(($B$3:$AG$3=P$16)*($B$5:$AG$7=VLOOKUP($B29,'On call stat'!$S$3:$T$10,2,FALSE)))&gt;0,"D","DO"),"DO")),
IFERROR(IF(SUMPRODUCT(($B$3:$AG$3=P$16)*($B$5:$AG$7=VLOOKUP($B29,'On call stat'!$S$3:$T$10,2,FALSE)))&gt;0,"D","DO"),"DO"))))))),
IF($B29="Huang Huanrao, Yoyo",IF(MOD(P$13,2)=1,"D1","B6"),
IF($B29="Lee Ka Po, Kathy",IF(MOD(P$13,2)=0,"D1","B6"),
IFERROR(IF(SUMPRODUCT(($B$3:$AG$3=P$16)*($B$5:$AG$7=VLOOKUP($B29,'On call stat'!$S$3:$T$10,2,FALSE)))&gt;0,"E","D"),"D"))))))))</f>
        <v>DO</v>
      </c>
      <c r="Q29" s="40" t="str">
        <f>IF(COUNTIF(PH!$A:$A,Q$16)&gt;0,"PH",
IF(AND(SUMPRODUCT(($B$9:$AG$10=IFERROR(VLOOKUP($B29,'On call stat'!$S$3:$T$20,2,FALSE),""))*($B$3:$AG$3=Q$16))&gt;0,OR(WEEKDAY(Q$16,2)=6,),OR($B29="Chan, Man Wai",$B29="Ng Suet Ping, Yoko",$B29="Li Mui Ying",$B29="Lee Ka Po, Kathy",$B29="Huang Huanrao, Yoyo")),"HDAL",
IF(OR(WEEKDAY(Q$16,2)=7,AND(WEEKDAY(Q$16,2)=6,SUMPRODUCT(($B$9:$AG$10=IFERROR(VLOOKUP($B29,'On call stat'!$S$3:$T$20,2,FALSE),""))*($B$3:$AG$3=Q$16))&gt;0)),"DO",
IF(SUMPRODUCT(($B$9:$AG$10=IFERROR(VLOOKUP($B29,'On call stat'!$S$3:$T$20,2,FALSE),""))*($B$3:$AG$3=Q$16))&gt;0,"AL",
IF(WEEKDAY(Q$16,2)=6,
IF($B29="Chan, Man Wai","HD",
IF($B29="Ng Suet Ping, Yoko","HD",
IF($B29="Li Mui Ying","HD1",
IF($B29="Huang Huanrao, Yoyo",IF(MOD(Q$13,2)=1,"HD2",IFERROR(IF(SUMPRODUCT(($B$3:$AG$3=Q$16)*($B$5:$AG$7=VLOOKUP($B29,'On call stat'!$S$3:$T$10,2,FALSE)))&gt;0,"D","DO"),"DO")),
IF($B29="Lee Ka Po, Kathy",IF(MOD(Q$13,2)=0,"HD2",IFERROR(IF(SUMPRODUCT(($B$3:$AG$3=Q$16)*($B$5:$AG$7=VLOOKUP($B29,'On call stat'!$S$3:$T$10,2,FALSE)))&gt;0,"D","DO"),"DO")),
IF($B29="Fan Hoi Wan, Ivy",IF(MOD(Q$13,2)=0,"D",IFERROR(IF(SUMPRODUCT(($B$3:$AG$3=Q$16)*($B$5:$AG$7=VLOOKUP($B29,'On call stat'!$S$3:$T$10,2,FALSE)))&gt;0,"D","DO"),"DO")),
IFERROR(IF(SUMPRODUCT(($B$3:$AG$3=Q$16)*($B$5:$AG$7=VLOOKUP($B29,'On call stat'!$S$3:$T$10,2,FALSE)))&gt;0,"D","DO"),"DO"))))))),
IF($B29="Huang Huanrao, Yoyo",IF(MOD(Q$13,2)=1,"D1","B6"),
IF($B29="Lee Ka Po, Kathy",IF(MOD(Q$13,2)=0,"D1","B6"),
IFERROR(IF(SUMPRODUCT(($B$3:$AG$3=Q$16)*($B$5:$AG$7=VLOOKUP($B29,'On call stat'!$S$3:$T$10,2,FALSE)))&gt;0,"E","D"),"D"))))))))</f>
        <v>DO</v>
      </c>
      <c r="R29" s="40" t="str">
        <f>IF(COUNTIF(PH!$A:$A,R$16)&gt;0,"PH",
IF(AND(SUMPRODUCT(($B$9:$AG$10=IFERROR(VLOOKUP($B29,'On call stat'!$S$3:$T$20,2,FALSE),""))*($B$3:$AG$3=R$16))&gt;0,OR(WEEKDAY(R$16,2)=6,),OR($B29="Chan, Man Wai",$B29="Ng Suet Ping, Yoko",$B29="Li Mui Ying",$B29="Lee Ka Po, Kathy",$B29="Huang Huanrao, Yoyo")),"HDAL",
IF(OR(WEEKDAY(R$16,2)=7,AND(WEEKDAY(R$16,2)=6,SUMPRODUCT(($B$9:$AG$10=IFERROR(VLOOKUP($B29,'On call stat'!$S$3:$T$20,2,FALSE),""))*($B$3:$AG$3=R$16))&gt;0)),"DO",
IF(SUMPRODUCT(($B$9:$AG$10=IFERROR(VLOOKUP($B29,'On call stat'!$S$3:$T$20,2,FALSE),""))*($B$3:$AG$3=R$16))&gt;0,"AL",
IF(WEEKDAY(R$16,2)=6,
IF($B29="Chan, Man Wai","HD",
IF($B29="Ng Suet Ping, Yoko","HD",
IF($B29="Li Mui Ying","HD1",
IF($B29="Huang Huanrao, Yoyo",IF(MOD(R$13,2)=1,"HD2",IFERROR(IF(SUMPRODUCT(($B$3:$AG$3=R$16)*($B$5:$AG$7=VLOOKUP($B29,'On call stat'!$S$3:$T$10,2,FALSE)))&gt;0,"D","DO"),"DO")),
IF($B29="Lee Ka Po, Kathy",IF(MOD(R$13,2)=0,"HD2",IFERROR(IF(SUMPRODUCT(($B$3:$AG$3=R$16)*($B$5:$AG$7=VLOOKUP($B29,'On call stat'!$S$3:$T$10,2,FALSE)))&gt;0,"D","DO"),"DO")),
IF($B29="Fan Hoi Wan, Ivy",IF(MOD(R$13,2)=0,"D",IFERROR(IF(SUMPRODUCT(($B$3:$AG$3=R$16)*($B$5:$AG$7=VLOOKUP($B29,'On call stat'!$S$3:$T$10,2,FALSE)))&gt;0,"D","DO"),"DO")),
IFERROR(IF(SUMPRODUCT(($B$3:$AG$3=R$16)*($B$5:$AG$7=VLOOKUP($B29,'On call stat'!$S$3:$T$10,2,FALSE)))&gt;0,"D","DO"),"DO"))))))),
IF($B29="Huang Huanrao, Yoyo",IF(MOD(R$13,2)=1,"D1","B6"),
IF($B29="Lee Ka Po, Kathy",IF(MOD(R$13,2)=0,"D1","B6"),
IFERROR(IF(SUMPRODUCT(($B$3:$AG$3=R$16)*($B$5:$AG$7=VLOOKUP($B29,'On call stat'!$S$3:$T$10,2,FALSE)))&gt;0,"E","D"),"D"))))))))</f>
        <v>AL</v>
      </c>
      <c r="S29" s="40" t="str">
        <f>IF(COUNTIF(PH!$A:$A,S$16)&gt;0,"PH",
IF(AND(SUMPRODUCT(($B$9:$AG$10=IFERROR(VLOOKUP($B29,'On call stat'!$S$3:$T$20,2,FALSE),""))*($B$3:$AG$3=S$16))&gt;0,OR(WEEKDAY(S$16,2)=6,),OR($B29="Chan, Man Wai",$B29="Ng Suet Ping, Yoko",$B29="Li Mui Ying",$B29="Lee Ka Po, Kathy",$B29="Huang Huanrao, Yoyo")),"HDAL",
IF(OR(WEEKDAY(S$16,2)=7,AND(WEEKDAY(S$16,2)=6,SUMPRODUCT(($B$9:$AG$10=IFERROR(VLOOKUP($B29,'On call stat'!$S$3:$T$20,2,FALSE),""))*($B$3:$AG$3=S$16))&gt;0)),"DO",
IF(SUMPRODUCT(($B$9:$AG$10=IFERROR(VLOOKUP($B29,'On call stat'!$S$3:$T$20,2,FALSE),""))*($B$3:$AG$3=S$16))&gt;0,"AL",
IF(WEEKDAY(S$16,2)=6,
IF($B29="Chan, Man Wai","HD",
IF($B29="Ng Suet Ping, Yoko","HD",
IF($B29="Li Mui Ying","HD1",
IF($B29="Huang Huanrao, Yoyo",IF(MOD(S$13,2)=1,"HD2",IFERROR(IF(SUMPRODUCT(($B$3:$AG$3=S$16)*($B$5:$AG$7=VLOOKUP($B29,'On call stat'!$S$3:$T$10,2,FALSE)))&gt;0,"D","DO"),"DO")),
IF($B29="Lee Ka Po, Kathy",IF(MOD(S$13,2)=0,"HD2",IFERROR(IF(SUMPRODUCT(($B$3:$AG$3=S$16)*($B$5:$AG$7=VLOOKUP($B29,'On call stat'!$S$3:$T$10,2,FALSE)))&gt;0,"D","DO"),"DO")),
IF($B29="Fan Hoi Wan, Ivy",IF(MOD(S$13,2)=0,"D",IFERROR(IF(SUMPRODUCT(($B$3:$AG$3=S$16)*($B$5:$AG$7=VLOOKUP($B29,'On call stat'!$S$3:$T$10,2,FALSE)))&gt;0,"D","DO"),"DO")),
IFERROR(IF(SUMPRODUCT(($B$3:$AG$3=S$16)*($B$5:$AG$7=VLOOKUP($B29,'On call stat'!$S$3:$T$10,2,FALSE)))&gt;0,"D","DO"),"DO"))))))),
IF($B29="Huang Huanrao, Yoyo",IF(MOD(S$13,2)=1,"D1","B6"),
IF($B29="Lee Ka Po, Kathy",IF(MOD(S$13,2)=0,"D1","B6"),
IFERROR(IF(SUMPRODUCT(($B$3:$AG$3=S$16)*($B$5:$AG$7=VLOOKUP($B29,'On call stat'!$S$3:$T$10,2,FALSE)))&gt;0,"E","D"),"D"))))))))</f>
        <v>AL</v>
      </c>
      <c r="T29" s="40" t="str">
        <f>IF(COUNTIF(PH!$A:$A,T$16)&gt;0,"PH",
IF(AND(SUMPRODUCT(($B$9:$AG$10=IFERROR(VLOOKUP($B29,'On call stat'!$S$3:$T$20,2,FALSE),""))*($B$3:$AG$3=T$16))&gt;0,OR(WEEKDAY(T$16,2)=6,),OR($B29="Chan, Man Wai",$B29="Ng Suet Ping, Yoko",$B29="Li Mui Ying",$B29="Lee Ka Po, Kathy",$B29="Huang Huanrao, Yoyo")),"HDAL",
IF(OR(WEEKDAY(T$16,2)=7,AND(WEEKDAY(T$16,2)=6,SUMPRODUCT(($B$9:$AG$10=IFERROR(VLOOKUP($B29,'On call stat'!$S$3:$T$20,2,FALSE),""))*($B$3:$AG$3=T$16))&gt;0)),"DO",
IF(SUMPRODUCT(($B$9:$AG$10=IFERROR(VLOOKUP($B29,'On call stat'!$S$3:$T$20,2,FALSE),""))*($B$3:$AG$3=T$16))&gt;0,"AL",
IF(WEEKDAY(T$16,2)=6,
IF($B29="Chan, Man Wai","HD",
IF($B29="Ng Suet Ping, Yoko","HD",
IF($B29="Li Mui Ying","HD1",
IF($B29="Huang Huanrao, Yoyo",IF(MOD(T$13,2)=1,"HD2",IFERROR(IF(SUMPRODUCT(($B$3:$AG$3=T$16)*($B$5:$AG$7=VLOOKUP($B29,'On call stat'!$S$3:$T$10,2,FALSE)))&gt;0,"D","DO"),"DO")),
IF($B29="Lee Ka Po, Kathy",IF(MOD(T$13,2)=0,"HD2",IFERROR(IF(SUMPRODUCT(($B$3:$AG$3=T$16)*($B$5:$AG$7=VLOOKUP($B29,'On call stat'!$S$3:$T$10,2,FALSE)))&gt;0,"D","DO"),"DO")),
IF($B29="Fan Hoi Wan, Ivy",IF(MOD(T$13,2)=0,"D",IFERROR(IF(SUMPRODUCT(($B$3:$AG$3=T$16)*($B$5:$AG$7=VLOOKUP($B29,'On call stat'!$S$3:$T$10,2,FALSE)))&gt;0,"D","DO"),"DO")),
IFERROR(IF(SUMPRODUCT(($B$3:$AG$3=T$16)*($B$5:$AG$7=VLOOKUP($B29,'On call stat'!$S$3:$T$10,2,FALSE)))&gt;0,"D","DO"),"DO"))))))),
IF($B29="Huang Huanrao, Yoyo",IF(MOD(T$13,2)=1,"D1","B6"),
IF($B29="Lee Ka Po, Kathy",IF(MOD(T$13,2)=0,"D1","B6"),
IFERROR(IF(SUMPRODUCT(($B$3:$AG$3=T$16)*($B$5:$AG$7=VLOOKUP($B29,'On call stat'!$S$3:$T$10,2,FALSE)))&gt;0,"E","D"),"D"))))))))</f>
        <v>AL</v>
      </c>
      <c r="U29" s="40" t="str">
        <f>IF(COUNTIF(PH!$A:$A,U$16)&gt;0,"PH",
IF(AND(SUMPRODUCT(($B$9:$AG$10=IFERROR(VLOOKUP($B29,'On call stat'!$S$3:$T$20,2,FALSE),""))*($B$3:$AG$3=U$16))&gt;0,OR(WEEKDAY(U$16,2)=6,),OR($B29="Chan, Man Wai",$B29="Ng Suet Ping, Yoko",$B29="Li Mui Ying",$B29="Lee Ka Po, Kathy",$B29="Huang Huanrao, Yoyo")),"HDAL",
IF(OR(WEEKDAY(U$16,2)=7,AND(WEEKDAY(U$16,2)=6,SUMPRODUCT(($B$9:$AG$10=IFERROR(VLOOKUP($B29,'On call stat'!$S$3:$T$20,2,FALSE),""))*($B$3:$AG$3=U$16))&gt;0)),"DO",
IF(SUMPRODUCT(($B$9:$AG$10=IFERROR(VLOOKUP($B29,'On call stat'!$S$3:$T$20,2,FALSE),""))*($B$3:$AG$3=U$16))&gt;0,"AL",
IF(WEEKDAY(U$16,2)=6,
IF($B29="Chan, Man Wai","HD",
IF($B29="Ng Suet Ping, Yoko","HD",
IF($B29="Li Mui Ying","HD1",
IF($B29="Huang Huanrao, Yoyo",IF(MOD(U$13,2)=1,"HD2",IFERROR(IF(SUMPRODUCT(($B$3:$AG$3=U$16)*($B$5:$AG$7=VLOOKUP($B29,'On call stat'!$S$3:$T$10,2,FALSE)))&gt;0,"D","DO"),"DO")),
IF($B29="Lee Ka Po, Kathy",IF(MOD(U$13,2)=0,"HD2",IFERROR(IF(SUMPRODUCT(($B$3:$AG$3=U$16)*($B$5:$AG$7=VLOOKUP($B29,'On call stat'!$S$3:$T$10,2,FALSE)))&gt;0,"D","DO"),"DO")),
IF($B29="Fan Hoi Wan, Ivy",IF(MOD(U$13,2)=0,"D",IFERROR(IF(SUMPRODUCT(($B$3:$AG$3=U$16)*($B$5:$AG$7=VLOOKUP($B29,'On call stat'!$S$3:$T$10,2,FALSE)))&gt;0,"D","DO"),"DO")),
IFERROR(IF(SUMPRODUCT(($B$3:$AG$3=U$16)*($B$5:$AG$7=VLOOKUP($B29,'On call stat'!$S$3:$T$10,2,FALSE)))&gt;0,"D","DO"),"DO"))))))),
IF($B29="Huang Huanrao, Yoyo",IF(MOD(U$13,2)=1,"D1","B6"),
IF($B29="Lee Ka Po, Kathy",IF(MOD(U$13,2)=0,"D1","B6"),
IFERROR(IF(SUMPRODUCT(($B$3:$AG$3=U$16)*($B$5:$AG$7=VLOOKUP($B29,'On call stat'!$S$3:$T$10,2,FALSE)))&gt;0,"E","D"),"D"))))))))</f>
        <v>AL</v>
      </c>
      <c r="V29" s="40" t="str">
        <f>IF(COUNTIF(PH!$A:$A,V$16)&gt;0,"PH",
IF(AND(SUMPRODUCT(($B$9:$AG$10=IFERROR(VLOOKUP($B29,'On call stat'!$S$3:$T$20,2,FALSE),""))*($B$3:$AG$3=V$16))&gt;0,OR(WEEKDAY(V$16,2)=6,),OR($B29="Chan, Man Wai",$B29="Ng Suet Ping, Yoko",$B29="Li Mui Ying",$B29="Lee Ka Po, Kathy",$B29="Huang Huanrao, Yoyo")),"HDAL",
IF(OR(WEEKDAY(V$16,2)=7,AND(WEEKDAY(V$16,2)=6,SUMPRODUCT(($B$9:$AG$10=IFERROR(VLOOKUP($B29,'On call stat'!$S$3:$T$20,2,FALSE),""))*($B$3:$AG$3=V$16))&gt;0)),"DO",
IF(SUMPRODUCT(($B$9:$AG$10=IFERROR(VLOOKUP($B29,'On call stat'!$S$3:$T$20,2,FALSE),""))*($B$3:$AG$3=V$16))&gt;0,"AL",
IF(WEEKDAY(V$16,2)=6,
IF($B29="Chan, Man Wai","HD",
IF($B29="Ng Suet Ping, Yoko","HD",
IF($B29="Li Mui Ying","HD1",
IF($B29="Huang Huanrao, Yoyo",IF(MOD(V$13,2)=1,"HD2",IFERROR(IF(SUMPRODUCT(($B$3:$AG$3=V$16)*($B$5:$AG$7=VLOOKUP($B29,'On call stat'!$S$3:$T$10,2,FALSE)))&gt;0,"D","DO"),"DO")),
IF($B29="Lee Ka Po, Kathy",IF(MOD(V$13,2)=0,"HD2",IFERROR(IF(SUMPRODUCT(($B$3:$AG$3=V$16)*($B$5:$AG$7=VLOOKUP($B29,'On call stat'!$S$3:$T$10,2,FALSE)))&gt;0,"D","DO"),"DO")),
IF($B29="Fan Hoi Wan, Ivy",IF(MOD(V$13,2)=0,"D",IFERROR(IF(SUMPRODUCT(($B$3:$AG$3=V$16)*($B$5:$AG$7=VLOOKUP($B29,'On call stat'!$S$3:$T$10,2,FALSE)))&gt;0,"D","DO"),"DO")),
IFERROR(IF(SUMPRODUCT(($B$3:$AG$3=V$16)*($B$5:$AG$7=VLOOKUP($B29,'On call stat'!$S$3:$T$10,2,FALSE)))&gt;0,"D","DO"),"DO"))))))),
IF($B29="Huang Huanrao, Yoyo",IF(MOD(V$13,2)=1,"D1","B6"),
IF($B29="Lee Ka Po, Kathy",IF(MOD(V$13,2)=0,"D1","B6"),
IFERROR(IF(SUMPRODUCT(($B$3:$AG$3=V$16)*($B$5:$AG$7=VLOOKUP($B29,'On call stat'!$S$3:$T$10,2,FALSE)))&gt;0,"E","D"),"D"))))))))</f>
        <v>AL</v>
      </c>
      <c r="W29" s="40" t="str">
        <f>IF(COUNTIF(PH!$A:$A,W$16)&gt;0,"PH",
IF(AND(SUMPRODUCT(($B$9:$AG$10=IFERROR(VLOOKUP($B29,'On call stat'!$S$3:$T$20,2,FALSE),""))*($B$3:$AG$3=W$16))&gt;0,OR(WEEKDAY(W$16,2)=6,),OR($B29="Chan, Man Wai",$B29="Ng Suet Ping, Yoko",$B29="Li Mui Ying",$B29="Lee Ka Po, Kathy",$B29="Huang Huanrao, Yoyo")),"HDAL",
IF(OR(WEEKDAY(W$16,2)=7,AND(WEEKDAY(W$16,2)=6,SUMPRODUCT(($B$9:$AG$10=IFERROR(VLOOKUP($B29,'On call stat'!$S$3:$T$20,2,FALSE),""))*($B$3:$AG$3=W$16))&gt;0)),"DO",
IF(SUMPRODUCT(($B$9:$AG$10=IFERROR(VLOOKUP($B29,'On call stat'!$S$3:$T$20,2,FALSE),""))*($B$3:$AG$3=W$16))&gt;0,"AL",
IF(WEEKDAY(W$16,2)=6,
IF($B29="Chan, Man Wai","HD",
IF($B29="Ng Suet Ping, Yoko","HD",
IF($B29="Li Mui Ying","HD1",
IF($B29="Huang Huanrao, Yoyo",IF(MOD(W$13,2)=1,"HD2",IFERROR(IF(SUMPRODUCT(($B$3:$AG$3=W$16)*($B$5:$AG$7=VLOOKUP($B29,'On call stat'!$S$3:$T$10,2,FALSE)))&gt;0,"D","DO"),"DO")),
IF($B29="Lee Ka Po, Kathy",IF(MOD(W$13,2)=0,"HD2",IFERROR(IF(SUMPRODUCT(($B$3:$AG$3=W$16)*($B$5:$AG$7=VLOOKUP($B29,'On call stat'!$S$3:$T$10,2,FALSE)))&gt;0,"D","DO"),"DO")),
IF($B29="Fan Hoi Wan, Ivy",IF(MOD(W$13,2)=0,"D",IFERROR(IF(SUMPRODUCT(($B$3:$AG$3=W$16)*($B$5:$AG$7=VLOOKUP($B29,'On call stat'!$S$3:$T$10,2,FALSE)))&gt;0,"D","DO"),"DO")),
IFERROR(IF(SUMPRODUCT(($B$3:$AG$3=W$16)*($B$5:$AG$7=VLOOKUP($B29,'On call stat'!$S$3:$T$10,2,FALSE)))&gt;0,"D","DO"),"DO"))))))),
IF($B29="Huang Huanrao, Yoyo",IF(MOD(W$13,2)=1,"D1","B6"),
IF($B29="Lee Ka Po, Kathy",IF(MOD(W$13,2)=0,"D1","B6"),
IFERROR(IF(SUMPRODUCT(($B$3:$AG$3=W$16)*($B$5:$AG$7=VLOOKUP($B29,'On call stat'!$S$3:$T$10,2,FALSE)))&gt;0,"E","D"),"D"))))))))</f>
        <v>DO</v>
      </c>
      <c r="X29" s="40" t="str">
        <f>IF(COUNTIF(PH!$A:$A,X$16)&gt;0,"PH",
IF(AND(SUMPRODUCT(($B$9:$AG$10=IFERROR(VLOOKUP($B29,'On call stat'!$S$3:$T$20,2,FALSE),""))*($B$3:$AG$3=X$16))&gt;0,OR(WEEKDAY(X$16,2)=6,),OR($B29="Chan, Man Wai",$B29="Ng Suet Ping, Yoko",$B29="Li Mui Ying",$B29="Lee Ka Po, Kathy",$B29="Huang Huanrao, Yoyo")),"HDAL",
IF(OR(WEEKDAY(X$16,2)=7,AND(WEEKDAY(X$16,2)=6,SUMPRODUCT(($B$9:$AG$10=IFERROR(VLOOKUP($B29,'On call stat'!$S$3:$T$20,2,FALSE),""))*($B$3:$AG$3=X$16))&gt;0)),"DO",
IF(SUMPRODUCT(($B$9:$AG$10=IFERROR(VLOOKUP($B29,'On call stat'!$S$3:$T$20,2,FALSE),""))*($B$3:$AG$3=X$16))&gt;0,"AL",
IF(WEEKDAY(X$16,2)=6,
IF($B29="Chan, Man Wai","HD",
IF($B29="Ng Suet Ping, Yoko","HD",
IF($B29="Li Mui Ying","HD1",
IF($B29="Huang Huanrao, Yoyo",IF(MOD(X$13,2)=1,"HD2",IFERROR(IF(SUMPRODUCT(($B$3:$AG$3=X$16)*($B$5:$AG$7=VLOOKUP($B29,'On call stat'!$S$3:$T$10,2,FALSE)))&gt;0,"D","DO"),"DO")),
IF($B29="Lee Ka Po, Kathy",IF(MOD(X$13,2)=0,"HD2",IFERROR(IF(SUMPRODUCT(($B$3:$AG$3=X$16)*($B$5:$AG$7=VLOOKUP($B29,'On call stat'!$S$3:$T$10,2,FALSE)))&gt;0,"D","DO"),"DO")),
IF($B29="Fan Hoi Wan, Ivy",IF(MOD(X$13,2)=0,"D",IFERROR(IF(SUMPRODUCT(($B$3:$AG$3=X$16)*($B$5:$AG$7=VLOOKUP($B29,'On call stat'!$S$3:$T$10,2,FALSE)))&gt;0,"D","DO"),"DO")),
IFERROR(IF(SUMPRODUCT(($B$3:$AG$3=X$16)*($B$5:$AG$7=VLOOKUP($B29,'On call stat'!$S$3:$T$10,2,FALSE)))&gt;0,"D","DO"),"DO"))))))),
IF($B29="Huang Huanrao, Yoyo",IF(MOD(X$13,2)=1,"D1","B6"),
IF($B29="Lee Ka Po, Kathy",IF(MOD(X$13,2)=0,"D1","B6"),
IFERROR(IF(SUMPRODUCT(($B$3:$AG$3=X$16)*($B$5:$AG$7=VLOOKUP($B29,'On call stat'!$S$3:$T$10,2,FALSE)))&gt;0,"E","D"),"D"))))))))</f>
        <v>DO</v>
      </c>
      <c r="Y29" s="40" t="str">
        <f>IF(COUNTIF(PH!$A:$A,Y$16)&gt;0,"PH",
IF(AND(SUMPRODUCT(($B$9:$AG$10=IFERROR(VLOOKUP($B29,'On call stat'!$S$3:$T$20,2,FALSE),""))*($B$3:$AG$3=Y$16))&gt;0,OR(WEEKDAY(Y$16,2)=6,),OR($B29="Chan, Man Wai",$B29="Ng Suet Ping, Yoko",$B29="Li Mui Ying",$B29="Lee Ka Po, Kathy",$B29="Huang Huanrao, Yoyo")),"HDAL",
IF(OR(WEEKDAY(Y$16,2)=7,AND(WEEKDAY(Y$16,2)=6,SUMPRODUCT(($B$9:$AG$10=IFERROR(VLOOKUP($B29,'On call stat'!$S$3:$T$20,2,FALSE),""))*($B$3:$AG$3=Y$16))&gt;0)),"DO",
IF(SUMPRODUCT(($B$9:$AG$10=IFERROR(VLOOKUP($B29,'On call stat'!$S$3:$T$20,2,FALSE),""))*($B$3:$AG$3=Y$16))&gt;0,"AL",
IF(WEEKDAY(Y$16,2)=6,
IF($B29="Chan, Man Wai","HD",
IF($B29="Ng Suet Ping, Yoko","HD",
IF($B29="Li Mui Ying","HD1",
IF($B29="Huang Huanrao, Yoyo",IF(MOD(Y$13,2)=1,"HD2",IFERROR(IF(SUMPRODUCT(($B$3:$AG$3=Y$16)*($B$5:$AG$7=VLOOKUP($B29,'On call stat'!$S$3:$T$10,2,FALSE)))&gt;0,"D","DO"),"DO")),
IF($B29="Lee Ka Po, Kathy",IF(MOD(Y$13,2)=0,"HD2",IFERROR(IF(SUMPRODUCT(($B$3:$AG$3=Y$16)*($B$5:$AG$7=VLOOKUP($B29,'On call stat'!$S$3:$T$10,2,FALSE)))&gt;0,"D","DO"),"DO")),
IF($B29="Fan Hoi Wan, Ivy",IF(MOD(Y$13,2)=0,"D",IFERROR(IF(SUMPRODUCT(($B$3:$AG$3=Y$16)*($B$5:$AG$7=VLOOKUP($B29,'On call stat'!$S$3:$T$10,2,FALSE)))&gt;0,"D","DO"),"DO")),
IFERROR(IF(SUMPRODUCT(($B$3:$AG$3=Y$16)*($B$5:$AG$7=VLOOKUP($B29,'On call stat'!$S$3:$T$10,2,FALSE)))&gt;0,"D","DO"),"DO"))))))),
IF($B29="Huang Huanrao, Yoyo",IF(MOD(Y$13,2)=1,"D1","B6"),
IF($B29="Lee Ka Po, Kathy",IF(MOD(Y$13,2)=0,"D1","B6"),
IFERROR(IF(SUMPRODUCT(($B$3:$AG$3=Y$16)*($B$5:$AG$7=VLOOKUP($B29,'On call stat'!$S$3:$T$10,2,FALSE)))&gt;0,"E","D"),"D"))))))))</f>
        <v>AL</v>
      </c>
      <c r="Z29" s="40" t="str">
        <f>IF(COUNTIF(PH!$A:$A,Z$16)&gt;0,"PH",
IF(AND(SUMPRODUCT(($B$9:$AG$10=IFERROR(VLOOKUP($B29,'On call stat'!$S$3:$T$20,2,FALSE),""))*($B$3:$AG$3=Z$16))&gt;0,OR(WEEKDAY(Z$16,2)=6,),OR($B29="Chan, Man Wai",$B29="Ng Suet Ping, Yoko",$B29="Li Mui Ying",$B29="Lee Ka Po, Kathy",$B29="Huang Huanrao, Yoyo")),"HDAL",
IF(OR(WEEKDAY(Z$16,2)=7,AND(WEEKDAY(Z$16,2)=6,SUMPRODUCT(($B$9:$AG$10=IFERROR(VLOOKUP($B29,'On call stat'!$S$3:$T$20,2,FALSE),""))*($B$3:$AG$3=Z$16))&gt;0)),"DO",
IF(SUMPRODUCT(($B$9:$AG$10=IFERROR(VLOOKUP($B29,'On call stat'!$S$3:$T$20,2,FALSE),""))*($B$3:$AG$3=Z$16))&gt;0,"AL",
IF(WEEKDAY(Z$16,2)=6,
IF($B29="Chan, Man Wai","HD",
IF($B29="Ng Suet Ping, Yoko","HD",
IF($B29="Li Mui Ying","HD1",
IF($B29="Huang Huanrao, Yoyo",IF(MOD(Z$13,2)=1,"HD2",IFERROR(IF(SUMPRODUCT(($B$3:$AG$3=Z$16)*($B$5:$AG$7=VLOOKUP($B29,'On call stat'!$S$3:$T$10,2,FALSE)))&gt;0,"D","DO"),"DO")),
IF($B29="Lee Ka Po, Kathy",IF(MOD(Z$13,2)=0,"HD2",IFERROR(IF(SUMPRODUCT(($B$3:$AG$3=Z$16)*($B$5:$AG$7=VLOOKUP($B29,'On call stat'!$S$3:$T$10,2,FALSE)))&gt;0,"D","DO"),"DO")),
IF($B29="Fan Hoi Wan, Ivy",IF(MOD(Z$13,2)=0,"D",IFERROR(IF(SUMPRODUCT(($B$3:$AG$3=Z$16)*($B$5:$AG$7=VLOOKUP($B29,'On call stat'!$S$3:$T$10,2,FALSE)))&gt;0,"D","DO"),"DO")),
IFERROR(IF(SUMPRODUCT(($B$3:$AG$3=Z$16)*($B$5:$AG$7=VLOOKUP($B29,'On call stat'!$S$3:$T$10,2,FALSE)))&gt;0,"D","DO"),"DO"))))))),
IF($B29="Huang Huanrao, Yoyo",IF(MOD(Z$13,2)=1,"D1","B6"),
IF($B29="Lee Ka Po, Kathy",IF(MOD(Z$13,2)=0,"D1","B6"),
IFERROR(IF(SUMPRODUCT(($B$3:$AG$3=Z$16)*($B$5:$AG$7=VLOOKUP($B29,'On call stat'!$S$3:$T$10,2,FALSE)))&gt;0,"E","D"),"D"))))))))</f>
        <v>AL</v>
      </c>
      <c r="AA29" s="40" t="str">
        <f>IF(COUNTIF(PH!$A:$A,AA$16)&gt;0,"PH",
IF(AND(SUMPRODUCT(($B$9:$AG$10=IFERROR(VLOOKUP($B29,'On call stat'!$S$3:$T$20,2,FALSE),""))*($B$3:$AG$3=AA$16))&gt;0,OR(WEEKDAY(AA$16,2)=6,),OR($B29="Chan, Man Wai",$B29="Ng Suet Ping, Yoko",$B29="Li Mui Ying",$B29="Lee Ka Po, Kathy",$B29="Huang Huanrao, Yoyo")),"HDAL",
IF(OR(WEEKDAY(AA$16,2)=7,AND(WEEKDAY(AA$16,2)=6,SUMPRODUCT(($B$9:$AG$10=IFERROR(VLOOKUP($B29,'On call stat'!$S$3:$T$20,2,FALSE),""))*($B$3:$AG$3=AA$16))&gt;0)),"DO",
IF(SUMPRODUCT(($B$9:$AG$10=IFERROR(VLOOKUP($B29,'On call stat'!$S$3:$T$20,2,FALSE),""))*($B$3:$AG$3=AA$16))&gt;0,"AL",
IF(WEEKDAY(AA$16,2)=6,
IF($B29="Chan, Man Wai","HD",
IF($B29="Ng Suet Ping, Yoko","HD",
IF($B29="Li Mui Ying","HD1",
IF($B29="Huang Huanrao, Yoyo",IF(MOD(AA$13,2)=1,"HD2",IFERROR(IF(SUMPRODUCT(($B$3:$AG$3=AA$16)*($B$5:$AG$7=VLOOKUP($B29,'On call stat'!$S$3:$T$10,2,FALSE)))&gt;0,"D","DO"),"DO")),
IF($B29="Lee Ka Po, Kathy",IF(MOD(AA$13,2)=0,"HD2",IFERROR(IF(SUMPRODUCT(($B$3:$AG$3=AA$16)*($B$5:$AG$7=VLOOKUP($B29,'On call stat'!$S$3:$T$10,2,FALSE)))&gt;0,"D","DO"),"DO")),
IF($B29="Fan Hoi Wan, Ivy",IF(MOD(AA$13,2)=0,"D",IFERROR(IF(SUMPRODUCT(($B$3:$AG$3=AA$16)*($B$5:$AG$7=VLOOKUP($B29,'On call stat'!$S$3:$T$10,2,FALSE)))&gt;0,"D","DO"),"DO")),
IFERROR(IF(SUMPRODUCT(($B$3:$AG$3=AA$16)*($B$5:$AG$7=VLOOKUP($B29,'On call stat'!$S$3:$T$10,2,FALSE)))&gt;0,"D","DO"),"DO"))))))),
IF($B29="Huang Huanrao, Yoyo",IF(MOD(AA$13,2)=1,"D1","B6"),
IF($B29="Lee Ka Po, Kathy",IF(MOD(AA$13,2)=0,"D1","B6"),
IFERROR(IF(SUMPRODUCT(($B$3:$AG$3=AA$16)*($B$5:$AG$7=VLOOKUP($B29,'On call stat'!$S$3:$T$10,2,FALSE)))&gt;0,"E","D"),"D"))))))))</f>
        <v>AL</v>
      </c>
      <c r="AB29" s="40" t="str">
        <f>IF(COUNTIF(PH!$A:$A,AB$16)&gt;0,"PH",
IF(AND(SUMPRODUCT(($B$9:$AG$10=IFERROR(VLOOKUP($B29,'On call stat'!$S$3:$T$20,2,FALSE),""))*($B$3:$AG$3=AB$16))&gt;0,OR(WEEKDAY(AB$16,2)=6,),OR($B29="Chan, Man Wai",$B29="Ng Suet Ping, Yoko",$B29="Li Mui Ying",$B29="Lee Ka Po, Kathy",$B29="Huang Huanrao, Yoyo")),"HDAL",
IF(OR(WEEKDAY(AB$16,2)=7,AND(WEEKDAY(AB$16,2)=6,SUMPRODUCT(($B$9:$AG$10=IFERROR(VLOOKUP($B29,'On call stat'!$S$3:$T$20,2,FALSE),""))*($B$3:$AG$3=AB$16))&gt;0)),"DO",
IF(SUMPRODUCT(($B$9:$AG$10=IFERROR(VLOOKUP($B29,'On call stat'!$S$3:$T$20,2,FALSE),""))*($B$3:$AG$3=AB$16))&gt;0,"AL",
IF(WEEKDAY(AB$16,2)=6,
IF($B29="Chan, Man Wai","HD",
IF($B29="Ng Suet Ping, Yoko","HD",
IF($B29="Li Mui Ying","HD1",
IF($B29="Huang Huanrao, Yoyo",IF(MOD(AB$13,2)=1,"HD2",IFERROR(IF(SUMPRODUCT(($B$3:$AG$3=AB$16)*($B$5:$AG$7=VLOOKUP($B29,'On call stat'!$S$3:$T$10,2,FALSE)))&gt;0,"D","DO"),"DO")),
IF($B29="Lee Ka Po, Kathy",IF(MOD(AB$13,2)=0,"HD2",IFERROR(IF(SUMPRODUCT(($B$3:$AG$3=AB$16)*($B$5:$AG$7=VLOOKUP($B29,'On call stat'!$S$3:$T$10,2,FALSE)))&gt;0,"D","DO"),"DO")),
IF($B29="Fan Hoi Wan, Ivy",IF(MOD(AB$13,2)=0,"D",IFERROR(IF(SUMPRODUCT(($B$3:$AG$3=AB$16)*($B$5:$AG$7=VLOOKUP($B29,'On call stat'!$S$3:$T$10,2,FALSE)))&gt;0,"D","DO"),"DO")),
IFERROR(IF(SUMPRODUCT(($B$3:$AG$3=AB$16)*($B$5:$AG$7=VLOOKUP($B29,'On call stat'!$S$3:$T$10,2,FALSE)))&gt;0,"D","DO"),"DO"))))))),
IF($B29="Huang Huanrao, Yoyo",IF(MOD(AB$13,2)=1,"D1","B6"),
IF($B29="Lee Ka Po, Kathy",IF(MOD(AB$13,2)=0,"D1","B6"),
IFERROR(IF(SUMPRODUCT(($B$3:$AG$3=AB$16)*($B$5:$AG$7=VLOOKUP($B29,'On call stat'!$S$3:$T$10,2,FALSE)))&gt;0,"E","D"),"D"))))))))</f>
        <v>AL</v>
      </c>
      <c r="AC29" s="40" t="str">
        <f>IF(COUNTIF(PH!$A:$A,AC$16)&gt;0,"PH",
IF(AND(SUMPRODUCT(($B$9:$AG$10=IFERROR(VLOOKUP($B29,'On call stat'!$S$3:$T$20,2,FALSE),""))*($B$3:$AG$3=AC$16))&gt;0,OR(WEEKDAY(AC$16,2)=6,),OR($B29="Chan, Man Wai",$B29="Ng Suet Ping, Yoko",$B29="Li Mui Ying",$B29="Lee Ka Po, Kathy",$B29="Huang Huanrao, Yoyo")),"HDAL",
IF(OR(WEEKDAY(AC$16,2)=7,AND(WEEKDAY(AC$16,2)=6,SUMPRODUCT(($B$9:$AG$10=IFERROR(VLOOKUP($B29,'On call stat'!$S$3:$T$20,2,FALSE),""))*($B$3:$AG$3=AC$16))&gt;0)),"DO",
IF(SUMPRODUCT(($B$9:$AG$10=IFERROR(VLOOKUP($B29,'On call stat'!$S$3:$T$20,2,FALSE),""))*($B$3:$AG$3=AC$16))&gt;0,"AL",
IF(WEEKDAY(AC$16,2)=6,
IF($B29="Chan, Man Wai","HD",
IF($B29="Ng Suet Ping, Yoko","HD",
IF($B29="Li Mui Ying","HD1",
IF($B29="Huang Huanrao, Yoyo",IF(MOD(AC$13,2)=1,"HD2",IFERROR(IF(SUMPRODUCT(($B$3:$AG$3=AC$16)*($B$5:$AG$7=VLOOKUP($B29,'On call stat'!$S$3:$T$10,2,FALSE)))&gt;0,"D","DO"),"DO")),
IF($B29="Lee Ka Po, Kathy",IF(MOD(AC$13,2)=0,"HD2",IFERROR(IF(SUMPRODUCT(($B$3:$AG$3=AC$16)*($B$5:$AG$7=VLOOKUP($B29,'On call stat'!$S$3:$T$10,2,FALSE)))&gt;0,"D","DO"),"DO")),
IF($B29="Fan Hoi Wan, Ivy",IF(MOD(AC$13,2)=0,"D",IFERROR(IF(SUMPRODUCT(($B$3:$AG$3=AC$16)*($B$5:$AG$7=VLOOKUP($B29,'On call stat'!$S$3:$T$10,2,FALSE)))&gt;0,"D","DO"),"DO")),
IFERROR(IF(SUMPRODUCT(($B$3:$AG$3=AC$16)*($B$5:$AG$7=VLOOKUP($B29,'On call stat'!$S$3:$T$10,2,FALSE)))&gt;0,"D","DO"),"DO"))))))),
IF($B29="Huang Huanrao, Yoyo",IF(MOD(AC$13,2)=1,"D1","B6"),
IF($B29="Lee Ka Po, Kathy",IF(MOD(AC$13,2)=0,"D1","B6"),
IFERROR(IF(SUMPRODUCT(($B$3:$AG$3=AC$16)*($B$5:$AG$7=VLOOKUP($B29,'On call stat'!$S$3:$T$10,2,FALSE)))&gt;0,"E","D"),"D"))))))))</f>
        <v>AL</v>
      </c>
      <c r="AD29" s="40" t="str">
        <f>IF(COUNTIF(PH!$A:$A,AD$16)&gt;0,"PH",
IF(AND(SUMPRODUCT(($B$9:$AG$10=IFERROR(VLOOKUP($B29,'On call stat'!$S$3:$T$20,2,FALSE),""))*($B$3:$AG$3=AD$16))&gt;0,OR(WEEKDAY(AD$16,2)=6,),OR($B29="Chan, Man Wai",$B29="Ng Suet Ping, Yoko",$B29="Li Mui Ying",$B29="Lee Ka Po, Kathy",$B29="Huang Huanrao, Yoyo")),"HDAL",
IF(OR(WEEKDAY(AD$16,2)=7,AND(WEEKDAY(AD$16,2)=6,SUMPRODUCT(($B$9:$AG$10=IFERROR(VLOOKUP($B29,'On call stat'!$S$3:$T$20,2,FALSE),""))*($B$3:$AG$3=AD$16))&gt;0)),"DO",
IF(SUMPRODUCT(($B$9:$AG$10=IFERROR(VLOOKUP($B29,'On call stat'!$S$3:$T$20,2,FALSE),""))*($B$3:$AG$3=AD$16))&gt;0,"AL",
IF(WEEKDAY(AD$16,2)=6,
IF($B29="Chan, Man Wai","HD",
IF($B29="Ng Suet Ping, Yoko","HD",
IF($B29="Li Mui Ying","HD1",
IF($B29="Huang Huanrao, Yoyo",IF(MOD(AD$13,2)=1,"HD2",IFERROR(IF(SUMPRODUCT(($B$3:$AG$3=AD$16)*($B$5:$AG$7=VLOOKUP($B29,'On call stat'!$S$3:$T$10,2,FALSE)))&gt;0,"D","DO"),"DO")),
IF($B29="Lee Ka Po, Kathy",IF(MOD(AD$13,2)=0,"HD2",IFERROR(IF(SUMPRODUCT(($B$3:$AG$3=AD$16)*($B$5:$AG$7=VLOOKUP($B29,'On call stat'!$S$3:$T$10,2,FALSE)))&gt;0,"D","DO"),"DO")),
IF($B29="Fan Hoi Wan, Ivy",IF(MOD(AD$13,2)=0,"D",IFERROR(IF(SUMPRODUCT(($B$3:$AG$3=AD$16)*($B$5:$AG$7=VLOOKUP($B29,'On call stat'!$S$3:$T$10,2,FALSE)))&gt;0,"D","DO"),"DO")),
IFERROR(IF(SUMPRODUCT(($B$3:$AG$3=AD$16)*($B$5:$AG$7=VLOOKUP($B29,'On call stat'!$S$3:$T$10,2,FALSE)))&gt;0,"D","DO"),"DO"))))))),
IF($B29="Huang Huanrao, Yoyo",IF(MOD(AD$13,2)=1,"D1","B6"),
IF($B29="Lee Ka Po, Kathy",IF(MOD(AD$13,2)=0,"D1","B6"),
IFERROR(IF(SUMPRODUCT(($B$3:$AG$3=AD$16)*($B$5:$AG$7=VLOOKUP($B29,'On call stat'!$S$3:$T$10,2,FALSE)))&gt;0,"E","D"),"D"))))))))</f>
        <v>DO</v>
      </c>
      <c r="AE29" s="40" t="str">
        <f>IF(COUNTIF(PH!$A:$A,AE$16)&gt;0,"PH",
IF(AND(SUMPRODUCT(($B$9:$AG$10=IFERROR(VLOOKUP($B29,'On call stat'!$S$3:$T$20,2,FALSE),""))*($B$3:$AG$3=AE$16))&gt;0,OR(WEEKDAY(AE$16,2)=6,),OR($B29="Chan, Man Wai",$B29="Ng Suet Ping, Yoko",$B29="Li Mui Ying",$B29="Lee Ka Po, Kathy",$B29="Huang Huanrao, Yoyo")),"HDAL",
IF(OR(WEEKDAY(AE$16,2)=7,AND(WEEKDAY(AE$16,2)=6,SUMPRODUCT(($B$9:$AG$10=IFERROR(VLOOKUP($B29,'On call stat'!$S$3:$T$20,2,FALSE),""))*($B$3:$AG$3=AE$16))&gt;0)),"DO",
IF(SUMPRODUCT(($B$9:$AG$10=IFERROR(VLOOKUP($B29,'On call stat'!$S$3:$T$20,2,FALSE),""))*($B$3:$AG$3=AE$16))&gt;0,"AL",
IF(WEEKDAY(AE$16,2)=6,
IF($B29="Chan, Man Wai","HD",
IF($B29="Ng Suet Ping, Yoko","HD",
IF($B29="Li Mui Ying","HD1",
IF($B29="Huang Huanrao, Yoyo",IF(MOD(AE$13,2)=1,"HD2",IFERROR(IF(SUMPRODUCT(($B$3:$AG$3=AE$16)*($B$5:$AG$7=VLOOKUP($B29,'On call stat'!$S$3:$T$10,2,FALSE)))&gt;0,"D","DO"),"DO")),
IF($B29="Lee Ka Po, Kathy",IF(MOD(AE$13,2)=0,"HD2",IFERROR(IF(SUMPRODUCT(($B$3:$AG$3=AE$16)*($B$5:$AG$7=VLOOKUP($B29,'On call stat'!$S$3:$T$10,2,FALSE)))&gt;0,"D","DO"),"DO")),
IF($B29="Fan Hoi Wan, Ivy",IF(MOD(AE$13,2)=0,"D",IFERROR(IF(SUMPRODUCT(($B$3:$AG$3=AE$16)*($B$5:$AG$7=VLOOKUP($B29,'On call stat'!$S$3:$T$10,2,FALSE)))&gt;0,"D","DO"),"DO")),
IFERROR(IF(SUMPRODUCT(($B$3:$AG$3=AE$16)*($B$5:$AG$7=VLOOKUP($B29,'On call stat'!$S$3:$T$10,2,FALSE)))&gt;0,"D","DO"),"DO"))))))),
IF($B29="Huang Huanrao, Yoyo",IF(MOD(AE$13,2)=1,"D1","B6"),
IF($B29="Lee Ka Po, Kathy",IF(MOD(AE$13,2)=0,"D1","B6"),
IFERROR(IF(SUMPRODUCT(($B$3:$AG$3=AE$16)*($B$5:$AG$7=VLOOKUP($B29,'On call stat'!$S$3:$T$10,2,FALSE)))&gt;0,"E","D"),"D"))))))))</f>
        <v>DO</v>
      </c>
      <c r="AF29" s="40" t="str">
        <f>IF(COUNTIF(PH!$A:$A,AF$16)&gt;0,"PH",
IF(AND(SUMPRODUCT(($B$9:$AG$10=IFERROR(VLOOKUP($B29,'On call stat'!$S$3:$T$20,2,FALSE),""))*($B$3:$AG$3=AF$16))&gt;0,OR(WEEKDAY(AF$16,2)=6,),OR($B29="Chan, Man Wai",$B29="Ng Suet Ping, Yoko",$B29="Li Mui Ying",$B29="Lee Ka Po, Kathy",$B29="Huang Huanrao, Yoyo")),"HDAL",
IF(OR(WEEKDAY(AF$16,2)=7,AND(WEEKDAY(AF$16,2)=6,SUMPRODUCT(($B$9:$AG$10=IFERROR(VLOOKUP($B29,'On call stat'!$S$3:$T$20,2,FALSE),""))*($B$3:$AG$3=AF$16))&gt;0)),"DO",
IF(SUMPRODUCT(($B$9:$AG$10=IFERROR(VLOOKUP($B29,'On call stat'!$S$3:$T$20,2,FALSE),""))*($B$3:$AG$3=AF$16))&gt;0,"AL",
IF(WEEKDAY(AF$16,2)=6,
IF($B29="Chan, Man Wai","HD",
IF($B29="Ng Suet Ping, Yoko","HD",
IF($B29="Li Mui Ying","HD1",
IF($B29="Huang Huanrao, Yoyo",IF(MOD(AF$13,2)=1,"HD2",IFERROR(IF(SUMPRODUCT(($B$3:$AG$3=AF$16)*($B$5:$AG$7=VLOOKUP($B29,'On call stat'!$S$3:$T$10,2,FALSE)))&gt;0,"D","DO"),"DO")),
IF($B29="Lee Ka Po, Kathy",IF(MOD(AF$13,2)=0,"HD2",IFERROR(IF(SUMPRODUCT(($B$3:$AG$3=AF$16)*($B$5:$AG$7=VLOOKUP($B29,'On call stat'!$S$3:$T$10,2,FALSE)))&gt;0,"D","DO"),"DO")),
IF($B29="Fan Hoi Wan, Ivy",IF(MOD(AF$13,2)=0,"D",IFERROR(IF(SUMPRODUCT(($B$3:$AG$3=AF$16)*($B$5:$AG$7=VLOOKUP($B29,'On call stat'!$S$3:$T$10,2,FALSE)))&gt;0,"D","DO"),"DO")),
IFERROR(IF(SUMPRODUCT(($B$3:$AG$3=AF$16)*($B$5:$AG$7=VLOOKUP($B29,'On call stat'!$S$3:$T$10,2,FALSE)))&gt;0,"D","DO"),"DO"))))))),
IF($B29="Huang Huanrao, Yoyo",IF(MOD(AF$13,2)=1,"D1","B6"),
IF($B29="Lee Ka Po, Kathy",IF(MOD(AF$13,2)=0,"D1","B6"),
IFERROR(IF(SUMPRODUCT(($B$3:$AG$3=AF$16)*($B$5:$AG$7=VLOOKUP($B29,'On call stat'!$S$3:$T$10,2,FALSE)))&gt;0,"E","D"),"D"))))))))</f>
        <v>AL</v>
      </c>
      <c r="AG29" s="40" t="str">
        <f>IF(COUNTIF(PH!$A:$A,AG$16)&gt;0,"PH",
IF(AND(SUMPRODUCT(($B$9:$AG$10=IFERROR(VLOOKUP($B29,'On call stat'!$S$3:$T$20,2,FALSE),""))*($B$3:$AG$3=AG$16))&gt;0,OR(WEEKDAY(AG$16,2)=6,),OR($B29="Chan, Man Wai",$B29="Ng Suet Ping, Yoko",$B29="Li Mui Ying",$B29="Lee Ka Po, Kathy",$B29="Huang Huanrao, Yoyo")),"HDAL",
IF(OR(WEEKDAY(AG$16,2)=7,AND(WEEKDAY(AG$16,2)=6,SUMPRODUCT(($B$9:$AG$10=IFERROR(VLOOKUP($B29,'On call stat'!$S$3:$T$20,2,FALSE),""))*($B$3:$AG$3=AG$16))&gt;0)),"DO",
IF(SUMPRODUCT(($B$9:$AG$10=IFERROR(VLOOKUP($B29,'On call stat'!$S$3:$T$20,2,FALSE),""))*($B$3:$AG$3=AG$16))&gt;0,"AL",
IF(WEEKDAY(AG$16,2)=6,
IF($B29="Chan, Man Wai","HD",
IF($B29="Ng Suet Ping, Yoko","HD",
IF($B29="Li Mui Ying","HD1",
IF($B29="Huang Huanrao, Yoyo",IF(MOD(AG$13,2)=1,"HD2",IFERROR(IF(SUMPRODUCT(($B$3:$AG$3=AG$16)*($B$5:$AG$7=VLOOKUP($B29,'On call stat'!$S$3:$T$10,2,FALSE)))&gt;0,"D","DO"),"DO")),
IF($B29="Lee Ka Po, Kathy",IF(MOD(AG$13,2)=0,"HD2",IFERROR(IF(SUMPRODUCT(($B$3:$AG$3=AG$16)*($B$5:$AG$7=VLOOKUP($B29,'On call stat'!$S$3:$T$10,2,FALSE)))&gt;0,"D","DO"),"DO")),
IF($B29="Fan Hoi Wan, Ivy",IF(MOD(AG$13,2)=0,"D",IFERROR(IF(SUMPRODUCT(($B$3:$AG$3=AG$16)*($B$5:$AG$7=VLOOKUP($B29,'On call stat'!$S$3:$T$10,2,FALSE)))&gt;0,"D","DO"),"DO")),
IFERROR(IF(SUMPRODUCT(($B$3:$AG$3=AG$16)*($B$5:$AG$7=VLOOKUP($B29,'On call stat'!$S$3:$T$10,2,FALSE)))&gt;0,"D","DO"),"DO"))))))),
IF($B29="Huang Huanrao, Yoyo",IF(MOD(AG$13,2)=1,"D1","B6"),
IF($B29="Lee Ka Po, Kathy",IF(MOD(AG$13,2)=0,"D1","B6"),
IFERROR(IF(SUMPRODUCT(($B$3:$AG$3=AG$16)*($B$5:$AG$7=VLOOKUP($B29,'On call stat'!$S$3:$T$10,2,FALSE)))&gt;0,"E","D"),"D"))))))))</f>
        <v>AL</v>
      </c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176</v>
      </c>
      <c r="AN29" s="68"/>
      <c r="AO29" s="67"/>
      <c r="AP29" s="67">
        <f>AO29+Feb!AP29</f>
        <v>0</v>
      </c>
    </row>
    <row r="30" spans="1:42" ht="24.75" customHeight="1" thickBot="1">
      <c r="A30" s="26" t="s">
        <v>67</v>
      </c>
      <c r="B30" s="22" t="s">
        <v>69</v>
      </c>
      <c r="C30" s="40" t="str">
        <f>IF(COUNTIF(PH!$A:$A,C$16)&gt;0,"PH",
IF(AND(SUMPRODUCT(($B$9:$AG$10=IFERROR(VLOOKUP($B30,'On call stat'!$S$3:$T$20,2,FALSE),""))*($B$3:$AG$3=C$16))&gt;0,OR(WEEKDAY(C$16,2)=6,),OR($B30="Chan, Man Wai",$B30="Ng Suet Ping, Yoko",$B30="Li Mui Ying",$B30="Lee Ka Po, Kathy",$B30="Huang Huanrao, Yoyo")),"HDAL",
IF(OR(WEEKDAY(C$16,2)=7,AND(WEEKDAY(C$16,2)=6,SUMPRODUCT(($B$9:$AG$10=IFERROR(VLOOKUP($B30,'On call stat'!$S$3:$T$20,2,FALSE),""))*($B$3:$AG$3=C$16))&gt;0)),"DO",
IF(SUMPRODUCT(($B$9:$AG$10=IFERROR(VLOOKUP($B30,'On call stat'!$S$3:$T$20,2,FALSE),""))*($B$3:$AG$3=C$16))&gt;0,"AL",
IF(WEEKDAY(C$16,2)=6,
IF($B30="Chan, Man Wai","HD",
IF($B30="Ng Suet Ping, Yoko","HD",
IF($B30="Li Mui Ying","HD1",
IF($B30="Huang Huanrao, Yoyo",IF(MOD(C$13,2)=1,"HD2",IFERROR(IF(SUMPRODUCT(($B$3:$AG$3=C$16)*($B$5:$AG$7=VLOOKUP($B30,'On call stat'!$S$3:$T$10,2,FALSE)))&gt;0,"D","DO"),"DO")),
IF($B30="Lee Ka Po, Kathy",IF(MOD(C$13,2)=0,"HD2",IFERROR(IF(SUMPRODUCT(($B$3:$AG$3=C$16)*($B$5:$AG$7=VLOOKUP($B30,'On call stat'!$S$3:$T$10,2,FALSE)))&gt;0,"D","DO"),"DO")),
IF($B30="Fan Hoi Wan, Ivy",IF(MOD(C$13,2)=0,"D",IFERROR(IF(SUMPRODUCT(($B$3:$AG$3=C$16)*($B$5:$AG$7=VLOOKUP($B30,'On call stat'!$S$3:$T$10,2,FALSE)))&gt;0,"D","DO"),"DO")),
IFERROR(IF(SUMPRODUCT(($B$3:$AG$3=C$16)*($B$5:$AG$7=VLOOKUP($B30,'On call stat'!$S$3:$T$10,2,FALSE)))&gt;0,"D","DO"),"DO"))))))),
IF($B30="Huang Huanrao, Yoyo",IF(MOD(C$13,2)=1,"D1","B6"),
IF($B30="Lee Ka Po, Kathy",IF(MOD(C$13,2)=0,"D1","B6"),
IFERROR(IF(SUMPRODUCT(($B$3:$AG$3=C$16)*($B$5:$AG$7=VLOOKUP($B30,'On call stat'!$S$3:$T$10,2,FALSE)))&gt;0,"E","D"),"D"))))))))</f>
        <v>DO</v>
      </c>
      <c r="D30" s="40" t="str">
        <f>IF(COUNTIF(PH!$A:$A,D$16)&gt;0,"PH",
IF(AND(SUMPRODUCT(($B$9:$AG$10=IFERROR(VLOOKUP($B30,'On call stat'!$S$3:$T$20,2,FALSE),""))*($B$3:$AG$3=D$16))&gt;0,OR(WEEKDAY(D$16,2)=6,),OR($B30="Chan, Man Wai",$B30="Ng Suet Ping, Yoko",$B30="Li Mui Ying",$B30="Lee Ka Po, Kathy",$B30="Huang Huanrao, Yoyo")),"HDAL",
IF(OR(WEEKDAY(D$16,2)=7,AND(WEEKDAY(D$16,2)=6,SUMPRODUCT(($B$9:$AG$10=IFERROR(VLOOKUP($B30,'On call stat'!$S$3:$T$20,2,FALSE),""))*($B$3:$AG$3=D$16))&gt;0)),"DO",
IF(SUMPRODUCT(($B$9:$AG$10=IFERROR(VLOOKUP($B30,'On call stat'!$S$3:$T$20,2,FALSE),""))*($B$3:$AG$3=D$16))&gt;0,"AL",
IF(WEEKDAY(D$16,2)=6,
IF($B30="Chan, Man Wai","HD",
IF($B30="Ng Suet Ping, Yoko","HD",
IF($B30="Li Mui Ying","HD1",
IF($B30="Huang Huanrao, Yoyo",IF(MOD(D$13,2)=1,"HD2",IFERROR(IF(SUMPRODUCT(($B$3:$AG$3=D$16)*($B$5:$AG$7=VLOOKUP($B30,'On call stat'!$S$3:$T$10,2,FALSE)))&gt;0,"D","DO"),"DO")),
IF($B30="Lee Ka Po, Kathy",IF(MOD(D$13,2)=0,"HD2",IFERROR(IF(SUMPRODUCT(($B$3:$AG$3=D$16)*($B$5:$AG$7=VLOOKUP($B30,'On call stat'!$S$3:$T$10,2,FALSE)))&gt;0,"D","DO"),"DO")),
IF($B30="Fan Hoi Wan, Ivy",IF(MOD(D$13,2)=0,"D",IFERROR(IF(SUMPRODUCT(($B$3:$AG$3=D$16)*($B$5:$AG$7=VLOOKUP($B30,'On call stat'!$S$3:$T$10,2,FALSE)))&gt;0,"D","DO"),"DO")),
IFERROR(IF(SUMPRODUCT(($B$3:$AG$3=D$16)*($B$5:$AG$7=VLOOKUP($B30,'On call stat'!$S$3:$T$10,2,FALSE)))&gt;0,"D","DO"),"DO"))))))),
IF($B30="Huang Huanrao, Yoyo",IF(MOD(D$13,2)=1,"D1","B6"),
IF($B30="Lee Ka Po, Kathy",IF(MOD(D$13,2)=0,"D1","B6"),
IFERROR(IF(SUMPRODUCT(($B$3:$AG$3=D$16)*($B$5:$AG$7=VLOOKUP($B30,'On call stat'!$S$3:$T$10,2,FALSE)))&gt;0,"E","D"),"D"))))))))</f>
        <v>AL</v>
      </c>
      <c r="E30" s="40" t="str">
        <f>IF(COUNTIF(PH!$A:$A,E$16)&gt;0,"PH",
IF(AND(SUMPRODUCT(($B$9:$AG$10=IFERROR(VLOOKUP($B30,'On call stat'!$S$3:$T$20,2,FALSE),""))*($B$3:$AG$3=E$16))&gt;0,OR(WEEKDAY(E$16,2)=6,),OR($B30="Chan, Man Wai",$B30="Ng Suet Ping, Yoko",$B30="Li Mui Ying",$B30="Lee Ka Po, Kathy",$B30="Huang Huanrao, Yoyo")),"HDAL",
IF(OR(WEEKDAY(E$16,2)=7,AND(WEEKDAY(E$16,2)=6,SUMPRODUCT(($B$9:$AG$10=IFERROR(VLOOKUP($B30,'On call stat'!$S$3:$T$20,2,FALSE),""))*($B$3:$AG$3=E$16))&gt;0)),"DO",
IF(SUMPRODUCT(($B$9:$AG$10=IFERROR(VLOOKUP($B30,'On call stat'!$S$3:$T$20,2,FALSE),""))*($B$3:$AG$3=E$16))&gt;0,"AL",
IF(WEEKDAY(E$16,2)=6,
IF($B30="Chan, Man Wai","HD",
IF($B30="Ng Suet Ping, Yoko","HD",
IF($B30="Li Mui Ying","HD1",
IF($B30="Huang Huanrao, Yoyo",IF(MOD(E$13,2)=1,"HD2",IFERROR(IF(SUMPRODUCT(($B$3:$AG$3=E$16)*($B$5:$AG$7=VLOOKUP($B30,'On call stat'!$S$3:$T$10,2,FALSE)))&gt;0,"D","DO"),"DO")),
IF($B30="Lee Ka Po, Kathy",IF(MOD(E$13,2)=0,"HD2",IFERROR(IF(SUMPRODUCT(($B$3:$AG$3=E$16)*($B$5:$AG$7=VLOOKUP($B30,'On call stat'!$S$3:$T$10,2,FALSE)))&gt;0,"D","DO"),"DO")),
IF($B30="Fan Hoi Wan, Ivy",IF(MOD(E$13,2)=0,"D",IFERROR(IF(SUMPRODUCT(($B$3:$AG$3=E$16)*($B$5:$AG$7=VLOOKUP($B30,'On call stat'!$S$3:$T$10,2,FALSE)))&gt;0,"D","DO"),"DO")),
IFERROR(IF(SUMPRODUCT(($B$3:$AG$3=E$16)*($B$5:$AG$7=VLOOKUP($B30,'On call stat'!$S$3:$T$10,2,FALSE)))&gt;0,"D","DO"),"DO"))))))),
IF($B30="Huang Huanrao, Yoyo",IF(MOD(E$13,2)=1,"D1","B6"),
IF($B30="Lee Ka Po, Kathy",IF(MOD(E$13,2)=0,"D1","B6"),
IFERROR(IF(SUMPRODUCT(($B$3:$AG$3=E$16)*($B$5:$AG$7=VLOOKUP($B30,'On call stat'!$S$3:$T$10,2,FALSE)))&gt;0,"E","D"),"D"))))))))</f>
        <v>AL</v>
      </c>
      <c r="F30" s="40" t="str">
        <f>IF(COUNTIF(PH!$A:$A,F$16)&gt;0,"PH",
IF(AND(SUMPRODUCT(($B$9:$AG$10=IFERROR(VLOOKUP($B30,'On call stat'!$S$3:$T$20,2,FALSE),""))*($B$3:$AG$3=F$16))&gt;0,OR(WEEKDAY(F$16,2)=6,),OR($B30="Chan, Man Wai",$B30="Ng Suet Ping, Yoko",$B30="Li Mui Ying",$B30="Lee Ka Po, Kathy",$B30="Huang Huanrao, Yoyo")),"HDAL",
IF(OR(WEEKDAY(F$16,2)=7,AND(WEEKDAY(F$16,2)=6,SUMPRODUCT(($B$9:$AG$10=IFERROR(VLOOKUP($B30,'On call stat'!$S$3:$T$20,2,FALSE),""))*($B$3:$AG$3=F$16))&gt;0)),"DO",
IF(SUMPRODUCT(($B$9:$AG$10=IFERROR(VLOOKUP($B30,'On call stat'!$S$3:$T$20,2,FALSE),""))*($B$3:$AG$3=F$16))&gt;0,"AL",
IF(WEEKDAY(F$16,2)=6,
IF($B30="Chan, Man Wai","HD",
IF($B30="Ng Suet Ping, Yoko","HD",
IF($B30="Li Mui Ying","HD1",
IF($B30="Huang Huanrao, Yoyo",IF(MOD(F$13,2)=1,"HD2",IFERROR(IF(SUMPRODUCT(($B$3:$AG$3=F$16)*($B$5:$AG$7=VLOOKUP($B30,'On call stat'!$S$3:$T$10,2,FALSE)))&gt;0,"D","DO"),"DO")),
IF($B30="Lee Ka Po, Kathy",IF(MOD(F$13,2)=0,"HD2",IFERROR(IF(SUMPRODUCT(($B$3:$AG$3=F$16)*($B$5:$AG$7=VLOOKUP($B30,'On call stat'!$S$3:$T$10,2,FALSE)))&gt;0,"D","DO"),"DO")),
IF($B30="Fan Hoi Wan, Ivy",IF(MOD(F$13,2)=0,"D",IFERROR(IF(SUMPRODUCT(($B$3:$AG$3=F$16)*($B$5:$AG$7=VLOOKUP($B30,'On call stat'!$S$3:$T$10,2,FALSE)))&gt;0,"D","DO"),"DO")),
IFERROR(IF(SUMPRODUCT(($B$3:$AG$3=F$16)*($B$5:$AG$7=VLOOKUP($B30,'On call stat'!$S$3:$T$10,2,FALSE)))&gt;0,"D","DO"),"DO"))))))),
IF($B30="Huang Huanrao, Yoyo",IF(MOD(F$13,2)=1,"D1","B6"),
IF($B30="Lee Ka Po, Kathy",IF(MOD(F$13,2)=0,"D1","B6"),
IFERROR(IF(SUMPRODUCT(($B$3:$AG$3=F$16)*($B$5:$AG$7=VLOOKUP($B30,'On call stat'!$S$3:$T$10,2,FALSE)))&gt;0,"E","D"),"D"))))))))</f>
        <v>AL</v>
      </c>
      <c r="G30" s="40" t="str">
        <f>IF(COUNTIF(PH!$A:$A,G$16)&gt;0,"PH",
IF(AND(SUMPRODUCT(($B$9:$AG$10=IFERROR(VLOOKUP($B30,'On call stat'!$S$3:$T$20,2,FALSE),""))*($B$3:$AG$3=G$16))&gt;0,OR(WEEKDAY(G$16,2)=6,),OR($B30="Chan, Man Wai",$B30="Ng Suet Ping, Yoko",$B30="Li Mui Ying",$B30="Lee Ka Po, Kathy",$B30="Huang Huanrao, Yoyo")),"HDAL",
IF(OR(WEEKDAY(G$16,2)=7,AND(WEEKDAY(G$16,2)=6,SUMPRODUCT(($B$9:$AG$10=IFERROR(VLOOKUP($B30,'On call stat'!$S$3:$T$20,2,FALSE),""))*($B$3:$AG$3=G$16))&gt;0)),"DO",
IF(SUMPRODUCT(($B$9:$AG$10=IFERROR(VLOOKUP($B30,'On call stat'!$S$3:$T$20,2,FALSE),""))*($B$3:$AG$3=G$16))&gt;0,"AL",
IF(WEEKDAY(G$16,2)=6,
IF($B30="Chan, Man Wai","HD",
IF($B30="Ng Suet Ping, Yoko","HD",
IF($B30="Li Mui Ying","HD1",
IF($B30="Huang Huanrao, Yoyo",IF(MOD(G$13,2)=1,"HD2",IFERROR(IF(SUMPRODUCT(($B$3:$AG$3=G$16)*($B$5:$AG$7=VLOOKUP($B30,'On call stat'!$S$3:$T$10,2,FALSE)))&gt;0,"D","DO"),"DO")),
IF($B30="Lee Ka Po, Kathy",IF(MOD(G$13,2)=0,"HD2",IFERROR(IF(SUMPRODUCT(($B$3:$AG$3=G$16)*($B$5:$AG$7=VLOOKUP($B30,'On call stat'!$S$3:$T$10,2,FALSE)))&gt;0,"D","DO"),"DO")),
IF($B30="Fan Hoi Wan, Ivy",IF(MOD(G$13,2)=0,"D",IFERROR(IF(SUMPRODUCT(($B$3:$AG$3=G$16)*($B$5:$AG$7=VLOOKUP($B30,'On call stat'!$S$3:$T$10,2,FALSE)))&gt;0,"D","DO"),"DO")),
IFERROR(IF(SUMPRODUCT(($B$3:$AG$3=G$16)*($B$5:$AG$7=VLOOKUP($B30,'On call stat'!$S$3:$T$10,2,FALSE)))&gt;0,"D","DO"),"DO"))))))),
IF($B30="Huang Huanrao, Yoyo",IF(MOD(G$13,2)=1,"D1","B6"),
IF($B30="Lee Ka Po, Kathy",IF(MOD(G$13,2)=0,"D1","B6"),
IFERROR(IF(SUMPRODUCT(($B$3:$AG$3=G$16)*($B$5:$AG$7=VLOOKUP($B30,'On call stat'!$S$3:$T$10,2,FALSE)))&gt;0,"E","D"),"D"))))))))</f>
        <v>AL</v>
      </c>
      <c r="H30" s="40" t="str">
        <f>IF(COUNTIF(PH!$A:$A,H$16)&gt;0,"PH",
IF(AND(SUMPRODUCT(($B$9:$AG$10=IFERROR(VLOOKUP($B30,'On call stat'!$S$3:$T$20,2,FALSE),""))*($B$3:$AG$3=H$16))&gt;0,OR(WEEKDAY(H$16,2)=6,),OR($B30="Chan, Man Wai",$B30="Ng Suet Ping, Yoko",$B30="Li Mui Ying",$B30="Lee Ka Po, Kathy",$B30="Huang Huanrao, Yoyo")),"HDAL",
IF(OR(WEEKDAY(H$16,2)=7,AND(WEEKDAY(H$16,2)=6,SUMPRODUCT(($B$9:$AG$10=IFERROR(VLOOKUP($B30,'On call stat'!$S$3:$T$20,2,FALSE),""))*($B$3:$AG$3=H$16))&gt;0)),"DO",
IF(SUMPRODUCT(($B$9:$AG$10=IFERROR(VLOOKUP($B30,'On call stat'!$S$3:$T$20,2,FALSE),""))*($B$3:$AG$3=H$16))&gt;0,"AL",
IF(WEEKDAY(H$16,2)=6,
IF($B30="Chan, Man Wai","HD",
IF($B30="Ng Suet Ping, Yoko","HD",
IF($B30="Li Mui Ying","HD1",
IF($B30="Huang Huanrao, Yoyo",IF(MOD(H$13,2)=1,"HD2",IFERROR(IF(SUMPRODUCT(($B$3:$AG$3=H$16)*($B$5:$AG$7=VLOOKUP($B30,'On call stat'!$S$3:$T$10,2,FALSE)))&gt;0,"D","DO"),"DO")),
IF($B30="Lee Ka Po, Kathy",IF(MOD(H$13,2)=0,"HD2",IFERROR(IF(SUMPRODUCT(($B$3:$AG$3=H$16)*($B$5:$AG$7=VLOOKUP($B30,'On call stat'!$S$3:$T$10,2,FALSE)))&gt;0,"D","DO"),"DO")),
IF($B30="Fan Hoi Wan, Ivy",IF(MOD(H$13,2)=0,"D",IFERROR(IF(SUMPRODUCT(($B$3:$AG$3=H$16)*($B$5:$AG$7=VLOOKUP($B30,'On call stat'!$S$3:$T$10,2,FALSE)))&gt;0,"D","DO"),"DO")),
IFERROR(IF(SUMPRODUCT(($B$3:$AG$3=H$16)*($B$5:$AG$7=VLOOKUP($B30,'On call stat'!$S$3:$T$10,2,FALSE)))&gt;0,"D","DO"),"DO"))))))),
IF($B30="Huang Huanrao, Yoyo",IF(MOD(H$13,2)=1,"D1","B6"),
IF($B30="Lee Ka Po, Kathy",IF(MOD(H$13,2)=0,"D1","B6"),
IFERROR(IF(SUMPRODUCT(($B$3:$AG$3=H$16)*($B$5:$AG$7=VLOOKUP($B30,'On call stat'!$S$3:$T$10,2,FALSE)))&gt;0,"E","D"),"D"))))))))</f>
        <v>AL</v>
      </c>
      <c r="I30" s="40" t="str">
        <f>IF(COUNTIF(PH!$A:$A,I$16)&gt;0,"PH",
IF(AND(SUMPRODUCT(($B$9:$AG$10=IFERROR(VLOOKUP($B30,'On call stat'!$S$3:$T$20,2,FALSE),""))*($B$3:$AG$3=I$16))&gt;0,OR(WEEKDAY(I$16,2)=6,),OR($B30="Chan, Man Wai",$B30="Ng Suet Ping, Yoko",$B30="Li Mui Ying",$B30="Lee Ka Po, Kathy",$B30="Huang Huanrao, Yoyo")),"HDAL",
IF(OR(WEEKDAY(I$16,2)=7,AND(WEEKDAY(I$16,2)=6,SUMPRODUCT(($B$9:$AG$10=IFERROR(VLOOKUP($B30,'On call stat'!$S$3:$T$20,2,FALSE),""))*($B$3:$AG$3=I$16))&gt;0)),"DO",
IF(SUMPRODUCT(($B$9:$AG$10=IFERROR(VLOOKUP($B30,'On call stat'!$S$3:$T$20,2,FALSE),""))*($B$3:$AG$3=I$16))&gt;0,"AL",
IF(WEEKDAY(I$16,2)=6,
IF($B30="Chan, Man Wai","HD",
IF($B30="Ng Suet Ping, Yoko","HD",
IF($B30="Li Mui Ying","HD1",
IF($B30="Huang Huanrao, Yoyo",IF(MOD(I$13,2)=1,"HD2",IFERROR(IF(SUMPRODUCT(($B$3:$AG$3=I$16)*($B$5:$AG$7=VLOOKUP($B30,'On call stat'!$S$3:$T$10,2,FALSE)))&gt;0,"D","DO"),"DO")),
IF($B30="Lee Ka Po, Kathy",IF(MOD(I$13,2)=0,"HD2",IFERROR(IF(SUMPRODUCT(($B$3:$AG$3=I$16)*($B$5:$AG$7=VLOOKUP($B30,'On call stat'!$S$3:$T$10,2,FALSE)))&gt;0,"D","DO"),"DO")),
IF($B30="Fan Hoi Wan, Ivy",IF(MOD(I$13,2)=0,"D",IFERROR(IF(SUMPRODUCT(($B$3:$AG$3=I$16)*($B$5:$AG$7=VLOOKUP($B30,'On call stat'!$S$3:$T$10,2,FALSE)))&gt;0,"D","DO"),"DO")),
IFERROR(IF(SUMPRODUCT(($B$3:$AG$3=I$16)*($B$5:$AG$7=VLOOKUP($B30,'On call stat'!$S$3:$T$10,2,FALSE)))&gt;0,"D","DO"),"DO"))))))),
IF($B30="Huang Huanrao, Yoyo",IF(MOD(I$13,2)=1,"D1","B6"),
IF($B30="Lee Ka Po, Kathy",IF(MOD(I$13,2)=0,"D1","B6"),
IFERROR(IF(SUMPRODUCT(($B$3:$AG$3=I$16)*($B$5:$AG$7=VLOOKUP($B30,'On call stat'!$S$3:$T$10,2,FALSE)))&gt;0,"E","D"),"D"))))))))</f>
        <v>DO</v>
      </c>
      <c r="J30" s="40" t="str">
        <f>IF(COUNTIF(PH!$A:$A,J$16)&gt;0,"PH",
IF(AND(SUMPRODUCT(($B$9:$AG$10=IFERROR(VLOOKUP($B30,'On call stat'!$S$3:$T$20,2,FALSE),""))*($B$3:$AG$3=J$16))&gt;0,OR(WEEKDAY(J$16,2)=6,),OR($B30="Chan, Man Wai",$B30="Ng Suet Ping, Yoko",$B30="Li Mui Ying",$B30="Lee Ka Po, Kathy",$B30="Huang Huanrao, Yoyo")),"HDAL",
IF(OR(WEEKDAY(J$16,2)=7,AND(WEEKDAY(J$16,2)=6,SUMPRODUCT(($B$9:$AG$10=IFERROR(VLOOKUP($B30,'On call stat'!$S$3:$T$20,2,FALSE),""))*($B$3:$AG$3=J$16))&gt;0)),"DO",
IF(SUMPRODUCT(($B$9:$AG$10=IFERROR(VLOOKUP($B30,'On call stat'!$S$3:$T$20,2,FALSE),""))*($B$3:$AG$3=J$16))&gt;0,"AL",
IF(WEEKDAY(J$16,2)=6,
IF($B30="Chan, Man Wai","HD",
IF($B30="Ng Suet Ping, Yoko","HD",
IF($B30="Li Mui Ying","HD1",
IF($B30="Huang Huanrao, Yoyo",IF(MOD(J$13,2)=1,"HD2",IFERROR(IF(SUMPRODUCT(($B$3:$AG$3=J$16)*($B$5:$AG$7=VLOOKUP($B30,'On call stat'!$S$3:$T$10,2,FALSE)))&gt;0,"D","DO"),"DO")),
IF($B30="Lee Ka Po, Kathy",IF(MOD(J$13,2)=0,"HD2",IFERROR(IF(SUMPRODUCT(($B$3:$AG$3=J$16)*($B$5:$AG$7=VLOOKUP($B30,'On call stat'!$S$3:$T$10,2,FALSE)))&gt;0,"D","DO"),"DO")),
IF($B30="Fan Hoi Wan, Ivy",IF(MOD(J$13,2)=0,"D",IFERROR(IF(SUMPRODUCT(($B$3:$AG$3=J$16)*($B$5:$AG$7=VLOOKUP($B30,'On call stat'!$S$3:$T$10,2,FALSE)))&gt;0,"D","DO"),"DO")),
IFERROR(IF(SUMPRODUCT(($B$3:$AG$3=J$16)*($B$5:$AG$7=VLOOKUP($B30,'On call stat'!$S$3:$T$10,2,FALSE)))&gt;0,"D","DO"),"DO"))))))),
IF($B30="Huang Huanrao, Yoyo",IF(MOD(J$13,2)=1,"D1","B6"),
IF($B30="Lee Ka Po, Kathy",IF(MOD(J$13,2)=0,"D1","B6"),
IFERROR(IF(SUMPRODUCT(($B$3:$AG$3=J$16)*($B$5:$AG$7=VLOOKUP($B30,'On call stat'!$S$3:$T$10,2,FALSE)))&gt;0,"E","D"),"D"))))))))</f>
        <v>DO</v>
      </c>
      <c r="K30" s="40" t="str">
        <f>IF(COUNTIF(PH!$A:$A,K$16)&gt;0,"PH",
IF(AND(SUMPRODUCT(($B$9:$AG$10=IFERROR(VLOOKUP($B30,'On call stat'!$S$3:$T$20,2,FALSE),""))*($B$3:$AG$3=K$16))&gt;0,OR(WEEKDAY(K$16,2)=6,),OR($B30="Chan, Man Wai",$B30="Ng Suet Ping, Yoko",$B30="Li Mui Ying",$B30="Lee Ka Po, Kathy",$B30="Huang Huanrao, Yoyo")),"HDAL",
IF(OR(WEEKDAY(K$16,2)=7,AND(WEEKDAY(K$16,2)=6,SUMPRODUCT(($B$9:$AG$10=IFERROR(VLOOKUP($B30,'On call stat'!$S$3:$T$20,2,FALSE),""))*($B$3:$AG$3=K$16))&gt;0)),"DO",
IF(SUMPRODUCT(($B$9:$AG$10=IFERROR(VLOOKUP($B30,'On call stat'!$S$3:$T$20,2,FALSE),""))*($B$3:$AG$3=K$16))&gt;0,"AL",
IF(WEEKDAY(K$16,2)=6,
IF($B30="Chan, Man Wai","HD",
IF($B30="Ng Suet Ping, Yoko","HD",
IF($B30="Li Mui Ying","HD1",
IF($B30="Huang Huanrao, Yoyo",IF(MOD(K$13,2)=1,"HD2",IFERROR(IF(SUMPRODUCT(($B$3:$AG$3=K$16)*($B$5:$AG$7=VLOOKUP($B30,'On call stat'!$S$3:$T$10,2,FALSE)))&gt;0,"D","DO"),"DO")),
IF($B30="Lee Ka Po, Kathy",IF(MOD(K$13,2)=0,"HD2",IFERROR(IF(SUMPRODUCT(($B$3:$AG$3=K$16)*($B$5:$AG$7=VLOOKUP($B30,'On call stat'!$S$3:$T$10,2,FALSE)))&gt;0,"D","DO"),"DO")),
IF($B30="Fan Hoi Wan, Ivy",IF(MOD(K$13,2)=0,"D",IFERROR(IF(SUMPRODUCT(($B$3:$AG$3=K$16)*($B$5:$AG$7=VLOOKUP($B30,'On call stat'!$S$3:$T$10,2,FALSE)))&gt;0,"D","DO"),"DO")),
IFERROR(IF(SUMPRODUCT(($B$3:$AG$3=K$16)*($B$5:$AG$7=VLOOKUP($B30,'On call stat'!$S$3:$T$10,2,FALSE)))&gt;0,"D","DO"),"DO"))))))),
IF($B30="Huang Huanrao, Yoyo",IF(MOD(K$13,2)=1,"D1","B6"),
IF($B30="Lee Ka Po, Kathy",IF(MOD(K$13,2)=0,"D1","B6"),
IFERROR(IF(SUMPRODUCT(($B$3:$AG$3=K$16)*($B$5:$AG$7=VLOOKUP($B30,'On call stat'!$S$3:$T$10,2,FALSE)))&gt;0,"E","D"),"D"))))))))</f>
        <v>AL</v>
      </c>
      <c r="L30" s="40" t="str">
        <f>IF(COUNTIF(PH!$A:$A,L$16)&gt;0,"PH",
IF(AND(SUMPRODUCT(($B$9:$AG$10=IFERROR(VLOOKUP($B30,'On call stat'!$S$3:$T$20,2,FALSE),""))*($B$3:$AG$3=L$16))&gt;0,OR(WEEKDAY(L$16,2)=6,),OR($B30="Chan, Man Wai",$B30="Ng Suet Ping, Yoko",$B30="Li Mui Ying",$B30="Lee Ka Po, Kathy",$B30="Huang Huanrao, Yoyo")),"HDAL",
IF(OR(WEEKDAY(L$16,2)=7,AND(WEEKDAY(L$16,2)=6,SUMPRODUCT(($B$9:$AG$10=IFERROR(VLOOKUP($B30,'On call stat'!$S$3:$T$20,2,FALSE),""))*($B$3:$AG$3=L$16))&gt;0)),"DO",
IF(SUMPRODUCT(($B$9:$AG$10=IFERROR(VLOOKUP($B30,'On call stat'!$S$3:$T$20,2,FALSE),""))*($B$3:$AG$3=L$16))&gt;0,"AL",
IF(WEEKDAY(L$16,2)=6,
IF($B30="Chan, Man Wai","HD",
IF($B30="Ng Suet Ping, Yoko","HD",
IF($B30="Li Mui Ying","HD1",
IF($B30="Huang Huanrao, Yoyo",IF(MOD(L$13,2)=1,"HD2",IFERROR(IF(SUMPRODUCT(($B$3:$AG$3=L$16)*($B$5:$AG$7=VLOOKUP($B30,'On call stat'!$S$3:$T$10,2,FALSE)))&gt;0,"D","DO"),"DO")),
IF($B30="Lee Ka Po, Kathy",IF(MOD(L$13,2)=0,"HD2",IFERROR(IF(SUMPRODUCT(($B$3:$AG$3=L$16)*($B$5:$AG$7=VLOOKUP($B30,'On call stat'!$S$3:$T$10,2,FALSE)))&gt;0,"D","DO"),"DO")),
IF($B30="Fan Hoi Wan, Ivy",IF(MOD(L$13,2)=0,"D",IFERROR(IF(SUMPRODUCT(($B$3:$AG$3=L$16)*($B$5:$AG$7=VLOOKUP($B30,'On call stat'!$S$3:$T$10,2,FALSE)))&gt;0,"D","DO"),"DO")),
IFERROR(IF(SUMPRODUCT(($B$3:$AG$3=L$16)*($B$5:$AG$7=VLOOKUP($B30,'On call stat'!$S$3:$T$10,2,FALSE)))&gt;0,"D","DO"),"DO"))))))),
IF($B30="Huang Huanrao, Yoyo",IF(MOD(L$13,2)=1,"D1","B6"),
IF($B30="Lee Ka Po, Kathy",IF(MOD(L$13,2)=0,"D1","B6"),
IFERROR(IF(SUMPRODUCT(($B$3:$AG$3=L$16)*($B$5:$AG$7=VLOOKUP($B30,'On call stat'!$S$3:$T$10,2,FALSE)))&gt;0,"E","D"),"D"))))))))</f>
        <v>AL</v>
      </c>
      <c r="M30" s="40" t="str">
        <f>IF(COUNTIF(PH!$A:$A,M$16)&gt;0,"PH",
IF(AND(SUMPRODUCT(($B$9:$AG$10=IFERROR(VLOOKUP($B30,'On call stat'!$S$3:$T$20,2,FALSE),""))*($B$3:$AG$3=M$16))&gt;0,OR(WEEKDAY(M$16,2)=6,),OR($B30="Chan, Man Wai",$B30="Ng Suet Ping, Yoko",$B30="Li Mui Ying",$B30="Lee Ka Po, Kathy",$B30="Huang Huanrao, Yoyo")),"HDAL",
IF(OR(WEEKDAY(M$16,2)=7,AND(WEEKDAY(M$16,2)=6,SUMPRODUCT(($B$9:$AG$10=IFERROR(VLOOKUP($B30,'On call stat'!$S$3:$T$20,2,FALSE),""))*($B$3:$AG$3=M$16))&gt;0)),"DO",
IF(SUMPRODUCT(($B$9:$AG$10=IFERROR(VLOOKUP($B30,'On call stat'!$S$3:$T$20,2,FALSE),""))*($B$3:$AG$3=M$16))&gt;0,"AL",
IF(WEEKDAY(M$16,2)=6,
IF($B30="Chan, Man Wai","HD",
IF($B30="Ng Suet Ping, Yoko","HD",
IF($B30="Li Mui Ying","HD1",
IF($B30="Huang Huanrao, Yoyo",IF(MOD(M$13,2)=1,"HD2",IFERROR(IF(SUMPRODUCT(($B$3:$AG$3=M$16)*($B$5:$AG$7=VLOOKUP($B30,'On call stat'!$S$3:$T$10,2,FALSE)))&gt;0,"D","DO"),"DO")),
IF($B30="Lee Ka Po, Kathy",IF(MOD(M$13,2)=0,"HD2",IFERROR(IF(SUMPRODUCT(($B$3:$AG$3=M$16)*($B$5:$AG$7=VLOOKUP($B30,'On call stat'!$S$3:$T$10,2,FALSE)))&gt;0,"D","DO"),"DO")),
IF($B30="Fan Hoi Wan, Ivy",IF(MOD(M$13,2)=0,"D",IFERROR(IF(SUMPRODUCT(($B$3:$AG$3=M$16)*($B$5:$AG$7=VLOOKUP($B30,'On call stat'!$S$3:$T$10,2,FALSE)))&gt;0,"D","DO"),"DO")),
IFERROR(IF(SUMPRODUCT(($B$3:$AG$3=M$16)*($B$5:$AG$7=VLOOKUP($B30,'On call stat'!$S$3:$T$10,2,FALSE)))&gt;0,"D","DO"),"DO"))))))),
IF($B30="Huang Huanrao, Yoyo",IF(MOD(M$13,2)=1,"D1","B6"),
IF($B30="Lee Ka Po, Kathy",IF(MOD(M$13,2)=0,"D1","B6"),
IFERROR(IF(SUMPRODUCT(($B$3:$AG$3=M$16)*($B$5:$AG$7=VLOOKUP($B30,'On call stat'!$S$3:$T$10,2,FALSE)))&gt;0,"E","D"),"D"))))))))</f>
        <v>AL</v>
      </c>
      <c r="N30" s="40" t="str">
        <f>IF(COUNTIF(PH!$A:$A,N$16)&gt;0,"PH",
IF(AND(SUMPRODUCT(($B$9:$AG$10=IFERROR(VLOOKUP($B30,'On call stat'!$S$3:$T$20,2,FALSE),""))*($B$3:$AG$3=N$16))&gt;0,OR(WEEKDAY(N$16,2)=6,),OR($B30="Chan, Man Wai",$B30="Ng Suet Ping, Yoko",$B30="Li Mui Ying",$B30="Lee Ka Po, Kathy",$B30="Huang Huanrao, Yoyo")),"HDAL",
IF(OR(WEEKDAY(N$16,2)=7,AND(WEEKDAY(N$16,2)=6,SUMPRODUCT(($B$9:$AG$10=IFERROR(VLOOKUP($B30,'On call stat'!$S$3:$T$20,2,FALSE),""))*($B$3:$AG$3=N$16))&gt;0)),"DO",
IF(SUMPRODUCT(($B$9:$AG$10=IFERROR(VLOOKUP($B30,'On call stat'!$S$3:$T$20,2,FALSE),""))*($B$3:$AG$3=N$16))&gt;0,"AL",
IF(WEEKDAY(N$16,2)=6,
IF($B30="Chan, Man Wai","HD",
IF($B30="Ng Suet Ping, Yoko","HD",
IF($B30="Li Mui Ying","HD1",
IF($B30="Huang Huanrao, Yoyo",IF(MOD(N$13,2)=1,"HD2",IFERROR(IF(SUMPRODUCT(($B$3:$AG$3=N$16)*($B$5:$AG$7=VLOOKUP($B30,'On call stat'!$S$3:$T$10,2,FALSE)))&gt;0,"D","DO"),"DO")),
IF($B30="Lee Ka Po, Kathy",IF(MOD(N$13,2)=0,"HD2",IFERROR(IF(SUMPRODUCT(($B$3:$AG$3=N$16)*($B$5:$AG$7=VLOOKUP($B30,'On call stat'!$S$3:$T$10,2,FALSE)))&gt;0,"D","DO"),"DO")),
IF($B30="Fan Hoi Wan, Ivy",IF(MOD(N$13,2)=0,"D",IFERROR(IF(SUMPRODUCT(($B$3:$AG$3=N$16)*($B$5:$AG$7=VLOOKUP($B30,'On call stat'!$S$3:$T$10,2,FALSE)))&gt;0,"D","DO"),"DO")),
IFERROR(IF(SUMPRODUCT(($B$3:$AG$3=N$16)*($B$5:$AG$7=VLOOKUP($B30,'On call stat'!$S$3:$T$10,2,FALSE)))&gt;0,"D","DO"),"DO"))))))),
IF($B30="Huang Huanrao, Yoyo",IF(MOD(N$13,2)=1,"D1","B6"),
IF($B30="Lee Ka Po, Kathy",IF(MOD(N$13,2)=0,"D1","B6"),
IFERROR(IF(SUMPRODUCT(($B$3:$AG$3=N$16)*($B$5:$AG$7=VLOOKUP($B30,'On call stat'!$S$3:$T$10,2,FALSE)))&gt;0,"E","D"),"D"))))))))</f>
        <v>AL</v>
      </c>
      <c r="O30" s="40" t="str">
        <f>IF(COUNTIF(PH!$A:$A,O$16)&gt;0,"PH",
IF(AND(SUMPRODUCT(($B$9:$AG$10=IFERROR(VLOOKUP($B30,'On call stat'!$S$3:$T$20,2,FALSE),""))*($B$3:$AG$3=O$16))&gt;0,OR(WEEKDAY(O$16,2)=6,),OR($B30="Chan, Man Wai",$B30="Ng Suet Ping, Yoko",$B30="Li Mui Ying",$B30="Lee Ka Po, Kathy",$B30="Huang Huanrao, Yoyo")),"HDAL",
IF(OR(WEEKDAY(O$16,2)=7,AND(WEEKDAY(O$16,2)=6,SUMPRODUCT(($B$9:$AG$10=IFERROR(VLOOKUP($B30,'On call stat'!$S$3:$T$20,2,FALSE),""))*($B$3:$AG$3=O$16))&gt;0)),"DO",
IF(SUMPRODUCT(($B$9:$AG$10=IFERROR(VLOOKUP($B30,'On call stat'!$S$3:$T$20,2,FALSE),""))*($B$3:$AG$3=O$16))&gt;0,"AL",
IF(WEEKDAY(O$16,2)=6,
IF($B30="Chan, Man Wai","HD",
IF($B30="Ng Suet Ping, Yoko","HD",
IF($B30="Li Mui Ying","HD1",
IF($B30="Huang Huanrao, Yoyo",IF(MOD(O$13,2)=1,"HD2",IFERROR(IF(SUMPRODUCT(($B$3:$AG$3=O$16)*($B$5:$AG$7=VLOOKUP($B30,'On call stat'!$S$3:$T$10,2,FALSE)))&gt;0,"D","DO"),"DO")),
IF($B30="Lee Ka Po, Kathy",IF(MOD(O$13,2)=0,"HD2",IFERROR(IF(SUMPRODUCT(($B$3:$AG$3=O$16)*($B$5:$AG$7=VLOOKUP($B30,'On call stat'!$S$3:$T$10,2,FALSE)))&gt;0,"D","DO"),"DO")),
IF($B30="Fan Hoi Wan, Ivy",IF(MOD(O$13,2)=0,"D",IFERROR(IF(SUMPRODUCT(($B$3:$AG$3=O$16)*($B$5:$AG$7=VLOOKUP($B30,'On call stat'!$S$3:$T$10,2,FALSE)))&gt;0,"D","DO"),"DO")),
IFERROR(IF(SUMPRODUCT(($B$3:$AG$3=O$16)*($B$5:$AG$7=VLOOKUP($B30,'On call stat'!$S$3:$T$10,2,FALSE)))&gt;0,"D","DO"),"DO"))))))),
IF($B30="Huang Huanrao, Yoyo",IF(MOD(O$13,2)=1,"D1","B6"),
IF($B30="Lee Ka Po, Kathy",IF(MOD(O$13,2)=0,"D1","B6"),
IFERROR(IF(SUMPRODUCT(($B$3:$AG$3=O$16)*($B$5:$AG$7=VLOOKUP($B30,'On call stat'!$S$3:$T$10,2,FALSE)))&gt;0,"E","D"),"D"))))))))</f>
        <v>AL</v>
      </c>
      <c r="P30" s="40" t="str">
        <f>IF(COUNTIF(PH!$A:$A,P$16)&gt;0,"PH",
IF(AND(SUMPRODUCT(($B$9:$AG$10=IFERROR(VLOOKUP($B30,'On call stat'!$S$3:$T$20,2,FALSE),""))*($B$3:$AG$3=P$16))&gt;0,OR(WEEKDAY(P$16,2)=6,),OR($B30="Chan, Man Wai",$B30="Ng Suet Ping, Yoko",$B30="Li Mui Ying",$B30="Lee Ka Po, Kathy",$B30="Huang Huanrao, Yoyo")),"HDAL",
IF(OR(WEEKDAY(P$16,2)=7,AND(WEEKDAY(P$16,2)=6,SUMPRODUCT(($B$9:$AG$10=IFERROR(VLOOKUP($B30,'On call stat'!$S$3:$T$20,2,FALSE),""))*($B$3:$AG$3=P$16))&gt;0)),"DO",
IF(SUMPRODUCT(($B$9:$AG$10=IFERROR(VLOOKUP($B30,'On call stat'!$S$3:$T$20,2,FALSE),""))*($B$3:$AG$3=P$16))&gt;0,"AL",
IF(WEEKDAY(P$16,2)=6,
IF($B30="Chan, Man Wai","HD",
IF($B30="Ng Suet Ping, Yoko","HD",
IF($B30="Li Mui Ying","HD1",
IF($B30="Huang Huanrao, Yoyo",IF(MOD(P$13,2)=1,"HD2",IFERROR(IF(SUMPRODUCT(($B$3:$AG$3=P$16)*($B$5:$AG$7=VLOOKUP($B30,'On call stat'!$S$3:$T$10,2,FALSE)))&gt;0,"D","DO"),"DO")),
IF($B30="Lee Ka Po, Kathy",IF(MOD(P$13,2)=0,"HD2",IFERROR(IF(SUMPRODUCT(($B$3:$AG$3=P$16)*($B$5:$AG$7=VLOOKUP($B30,'On call stat'!$S$3:$T$10,2,FALSE)))&gt;0,"D","DO"),"DO")),
IF($B30="Fan Hoi Wan, Ivy",IF(MOD(P$13,2)=0,"D",IFERROR(IF(SUMPRODUCT(($B$3:$AG$3=P$16)*($B$5:$AG$7=VLOOKUP($B30,'On call stat'!$S$3:$T$10,2,FALSE)))&gt;0,"D","DO"),"DO")),
IFERROR(IF(SUMPRODUCT(($B$3:$AG$3=P$16)*($B$5:$AG$7=VLOOKUP($B30,'On call stat'!$S$3:$T$10,2,FALSE)))&gt;0,"D","DO"),"DO"))))))),
IF($B30="Huang Huanrao, Yoyo",IF(MOD(P$13,2)=1,"D1","B6"),
IF($B30="Lee Ka Po, Kathy",IF(MOD(P$13,2)=0,"D1","B6"),
IFERROR(IF(SUMPRODUCT(($B$3:$AG$3=P$16)*($B$5:$AG$7=VLOOKUP($B30,'On call stat'!$S$3:$T$10,2,FALSE)))&gt;0,"E","D"),"D"))))))))</f>
        <v>DO</v>
      </c>
      <c r="Q30" s="40" t="str">
        <f>IF(COUNTIF(PH!$A:$A,Q$16)&gt;0,"PH",
IF(AND(SUMPRODUCT(($B$9:$AG$10=IFERROR(VLOOKUP($B30,'On call stat'!$S$3:$T$20,2,FALSE),""))*($B$3:$AG$3=Q$16))&gt;0,OR(WEEKDAY(Q$16,2)=6,),OR($B30="Chan, Man Wai",$B30="Ng Suet Ping, Yoko",$B30="Li Mui Ying",$B30="Lee Ka Po, Kathy",$B30="Huang Huanrao, Yoyo")),"HDAL",
IF(OR(WEEKDAY(Q$16,2)=7,AND(WEEKDAY(Q$16,2)=6,SUMPRODUCT(($B$9:$AG$10=IFERROR(VLOOKUP($B30,'On call stat'!$S$3:$T$20,2,FALSE),""))*($B$3:$AG$3=Q$16))&gt;0)),"DO",
IF(SUMPRODUCT(($B$9:$AG$10=IFERROR(VLOOKUP($B30,'On call stat'!$S$3:$T$20,2,FALSE),""))*($B$3:$AG$3=Q$16))&gt;0,"AL",
IF(WEEKDAY(Q$16,2)=6,
IF($B30="Chan, Man Wai","HD",
IF($B30="Ng Suet Ping, Yoko","HD",
IF($B30="Li Mui Ying","HD1",
IF($B30="Huang Huanrao, Yoyo",IF(MOD(Q$13,2)=1,"HD2",IFERROR(IF(SUMPRODUCT(($B$3:$AG$3=Q$16)*($B$5:$AG$7=VLOOKUP($B30,'On call stat'!$S$3:$T$10,2,FALSE)))&gt;0,"D","DO"),"DO")),
IF($B30="Lee Ka Po, Kathy",IF(MOD(Q$13,2)=0,"HD2",IFERROR(IF(SUMPRODUCT(($B$3:$AG$3=Q$16)*($B$5:$AG$7=VLOOKUP($B30,'On call stat'!$S$3:$T$10,2,FALSE)))&gt;0,"D","DO"),"DO")),
IF($B30="Fan Hoi Wan, Ivy",IF(MOD(Q$13,2)=0,"D",IFERROR(IF(SUMPRODUCT(($B$3:$AG$3=Q$16)*($B$5:$AG$7=VLOOKUP($B30,'On call stat'!$S$3:$T$10,2,FALSE)))&gt;0,"D","DO"),"DO")),
IFERROR(IF(SUMPRODUCT(($B$3:$AG$3=Q$16)*($B$5:$AG$7=VLOOKUP($B30,'On call stat'!$S$3:$T$10,2,FALSE)))&gt;0,"D","DO"),"DO"))))))),
IF($B30="Huang Huanrao, Yoyo",IF(MOD(Q$13,2)=1,"D1","B6"),
IF($B30="Lee Ka Po, Kathy",IF(MOD(Q$13,2)=0,"D1","B6"),
IFERROR(IF(SUMPRODUCT(($B$3:$AG$3=Q$16)*($B$5:$AG$7=VLOOKUP($B30,'On call stat'!$S$3:$T$10,2,FALSE)))&gt;0,"E","D"),"D"))))))))</f>
        <v>DO</v>
      </c>
      <c r="R30" s="40" t="str">
        <f>IF(COUNTIF(PH!$A:$A,R$16)&gt;0,"PH",
IF(AND(SUMPRODUCT(($B$9:$AG$10=IFERROR(VLOOKUP($B30,'On call stat'!$S$3:$T$20,2,FALSE),""))*($B$3:$AG$3=R$16))&gt;0,OR(WEEKDAY(R$16,2)=6,),OR($B30="Chan, Man Wai",$B30="Ng Suet Ping, Yoko",$B30="Li Mui Ying",$B30="Lee Ka Po, Kathy",$B30="Huang Huanrao, Yoyo")),"HDAL",
IF(OR(WEEKDAY(R$16,2)=7,AND(WEEKDAY(R$16,2)=6,SUMPRODUCT(($B$9:$AG$10=IFERROR(VLOOKUP($B30,'On call stat'!$S$3:$T$20,2,FALSE),""))*($B$3:$AG$3=R$16))&gt;0)),"DO",
IF(SUMPRODUCT(($B$9:$AG$10=IFERROR(VLOOKUP($B30,'On call stat'!$S$3:$T$20,2,FALSE),""))*($B$3:$AG$3=R$16))&gt;0,"AL",
IF(WEEKDAY(R$16,2)=6,
IF($B30="Chan, Man Wai","HD",
IF($B30="Ng Suet Ping, Yoko","HD",
IF($B30="Li Mui Ying","HD1",
IF($B30="Huang Huanrao, Yoyo",IF(MOD(R$13,2)=1,"HD2",IFERROR(IF(SUMPRODUCT(($B$3:$AG$3=R$16)*($B$5:$AG$7=VLOOKUP($B30,'On call stat'!$S$3:$T$10,2,FALSE)))&gt;0,"D","DO"),"DO")),
IF($B30="Lee Ka Po, Kathy",IF(MOD(R$13,2)=0,"HD2",IFERROR(IF(SUMPRODUCT(($B$3:$AG$3=R$16)*($B$5:$AG$7=VLOOKUP($B30,'On call stat'!$S$3:$T$10,2,FALSE)))&gt;0,"D","DO"),"DO")),
IF($B30="Fan Hoi Wan, Ivy",IF(MOD(R$13,2)=0,"D",IFERROR(IF(SUMPRODUCT(($B$3:$AG$3=R$16)*($B$5:$AG$7=VLOOKUP($B30,'On call stat'!$S$3:$T$10,2,FALSE)))&gt;0,"D","DO"),"DO")),
IFERROR(IF(SUMPRODUCT(($B$3:$AG$3=R$16)*($B$5:$AG$7=VLOOKUP($B30,'On call stat'!$S$3:$T$10,2,FALSE)))&gt;0,"D","DO"),"DO"))))))),
IF($B30="Huang Huanrao, Yoyo",IF(MOD(R$13,2)=1,"D1","B6"),
IF($B30="Lee Ka Po, Kathy",IF(MOD(R$13,2)=0,"D1","B6"),
IFERROR(IF(SUMPRODUCT(($B$3:$AG$3=R$16)*($B$5:$AG$7=VLOOKUP($B30,'On call stat'!$S$3:$T$10,2,FALSE)))&gt;0,"E","D"),"D"))))))))</f>
        <v>AL</v>
      </c>
      <c r="S30" s="40" t="str">
        <f>IF(COUNTIF(PH!$A:$A,S$16)&gt;0,"PH",
IF(AND(SUMPRODUCT(($B$9:$AG$10=IFERROR(VLOOKUP($B30,'On call stat'!$S$3:$T$20,2,FALSE),""))*($B$3:$AG$3=S$16))&gt;0,OR(WEEKDAY(S$16,2)=6,),OR($B30="Chan, Man Wai",$B30="Ng Suet Ping, Yoko",$B30="Li Mui Ying",$B30="Lee Ka Po, Kathy",$B30="Huang Huanrao, Yoyo")),"HDAL",
IF(OR(WEEKDAY(S$16,2)=7,AND(WEEKDAY(S$16,2)=6,SUMPRODUCT(($B$9:$AG$10=IFERROR(VLOOKUP($B30,'On call stat'!$S$3:$T$20,2,FALSE),""))*($B$3:$AG$3=S$16))&gt;0)),"DO",
IF(SUMPRODUCT(($B$9:$AG$10=IFERROR(VLOOKUP($B30,'On call stat'!$S$3:$T$20,2,FALSE),""))*($B$3:$AG$3=S$16))&gt;0,"AL",
IF(WEEKDAY(S$16,2)=6,
IF($B30="Chan, Man Wai","HD",
IF($B30="Ng Suet Ping, Yoko","HD",
IF($B30="Li Mui Ying","HD1",
IF($B30="Huang Huanrao, Yoyo",IF(MOD(S$13,2)=1,"HD2",IFERROR(IF(SUMPRODUCT(($B$3:$AG$3=S$16)*($B$5:$AG$7=VLOOKUP($B30,'On call stat'!$S$3:$T$10,2,FALSE)))&gt;0,"D","DO"),"DO")),
IF($B30="Lee Ka Po, Kathy",IF(MOD(S$13,2)=0,"HD2",IFERROR(IF(SUMPRODUCT(($B$3:$AG$3=S$16)*($B$5:$AG$7=VLOOKUP($B30,'On call stat'!$S$3:$T$10,2,FALSE)))&gt;0,"D","DO"),"DO")),
IF($B30="Fan Hoi Wan, Ivy",IF(MOD(S$13,2)=0,"D",IFERROR(IF(SUMPRODUCT(($B$3:$AG$3=S$16)*($B$5:$AG$7=VLOOKUP($B30,'On call stat'!$S$3:$T$10,2,FALSE)))&gt;0,"D","DO"),"DO")),
IFERROR(IF(SUMPRODUCT(($B$3:$AG$3=S$16)*($B$5:$AG$7=VLOOKUP($B30,'On call stat'!$S$3:$T$10,2,FALSE)))&gt;0,"D","DO"),"DO"))))))),
IF($B30="Huang Huanrao, Yoyo",IF(MOD(S$13,2)=1,"D1","B6"),
IF($B30="Lee Ka Po, Kathy",IF(MOD(S$13,2)=0,"D1","B6"),
IFERROR(IF(SUMPRODUCT(($B$3:$AG$3=S$16)*($B$5:$AG$7=VLOOKUP($B30,'On call stat'!$S$3:$T$10,2,FALSE)))&gt;0,"E","D"),"D"))))))))</f>
        <v>AL</v>
      </c>
      <c r="T30" s="40" t="str">
        <f>IF(COUNTIF(PH!$A:$A,T$16)&gt;0,"PH",
IF(AND(SUMPRODUCT(($B$9:$AG$10=IFERROR(VLOOKUP($B30,'On call stat'!$S$3:$T$20,2,FALSE),""))*($B$3:$AG$3=T$16))&gt;0,OR(WEEKDAY(T$16,2)=6,),OR($B30="Chan, Man Wai",$B30="Ng Suet Ping, Yoko",$B30="Li Mui Ying",$B30="Lee Ka Po, Kathy",$B30="Huang Huanrao, Yoyo")),"HDAL",
IF(OR(WEEKDAY(T$16,2)=7,AND(WEEKDAY(T$16,2)=6,SUMPRODUCT(($B$9:$AG$10=IFERROR(VLOOKUP($B30,'On call stat'!$S$3:$T$20,2,FALSE),""))*($B$3:$AG$3=T$16))&gt;0)),"DO",
IF(SUMPRODUCT(($B$9:$AG$10=IFERROR(VLOOKUP($B30,'On call stat'!$S$3:$T$20,2,FALSE),""))*($B$3:$AG$3=T$16))&gt;0,"AL",
IF(WEEKDAY(T$16,2)=6,
IF($B30="Chan, Man Wai","HD",
IF($B30="Ng Suet Ping, Yoko","HD",
IF($B30="Li Mui Ying","HD1",
IF($B30="Huang Huanrao, Yoyo",IF(MOD(T$13,2)=1,"HD2",IFERROR(IF(SUMPRODUCT(($B$3:$AG$3=T$16)*($B$5:$AG$7=VLOOKUP($B30,'On call stat'!$S$3:$T$10,2,FALSE)))&gt;0,"D","DO"),"DO")),
IF($B30="Lee Ka Po, Kathy",IF(MOD(T$13,2)=0,"HD2",IFERROR(IF(SUMPRODUCT(($B$3:$AG$3=T$16)*($B$5:$AG$7=VLOOKUP($B30,'On call stat'!$S$3:$T$10,2,FALSE)))&gt;0,"D","DO"),"DO")),
IF($B30="Fan Hoi Wan, Ivy",IF(MOD(T$13,2)=0,"D",IFERROR(IF(SUMPRODUCT(($B$3:$AG$3=T$16)*($B$5:$AG$7=VLOOKUP($B30,'On call stat'!$S$3:$T$10,2,FALSE)))&gt;0,"D","DO"),"DO")),
IFERROR(IF(SUMPRODUCT(($B$3:$AG$3=T$16)*($B$5:$AG$7=VLOOKUP($B30,'On call stat'!$S$3:$T$10,2,FALSE)))&gt;0,"D","DO"),"DO"))))))),
IF($B30="Huang Huanrao, Yoyo",IF(MOD(T$13,2)=1,"D1","B6"),
IF($B30="Lee Ka Po, Kathy",IF(MOD(T$13,2)=0,"D1","B6"),
IFERROR(IF(SUMPRODUCT(($B$3:$AG$3=T$16)*($B$5:$AG$7=VLOOKUP($B30,'On call stat'!$S$3:$T$10,2,FALSE)))&gt;0,"E","D"),"D"))))))))</f>
        <v>AL</v>
      </c>
      <c r="U30" s="40" t="str">
        <f>IF(COUNTIF(PH!$A:$A,U$16)&gt;0,"PH",
IF(AND(SUMPRODUCT(($B$9:$AG$10=IFERROR(VLOOKUP($B30,'On call stat'!$S$3:$T$20,2,FALSE),""))*($B$3:$AG$3=U$16))&gt;0,OR(WEEKDAY(U$16,2)=6,),OR($B30="Chan, Man Wai",$B30="Ng Suet Ping, Yoko",$B30="Li Mui Ying",$B30="Lee Ka Po, Kathy",$B30="Huang Huanrao, Yoyo")),"HDAL",
IF(OR(WEEKDAY(U$16,2)=7,AND(WEEKDAY(U$16,2)=6,SUMPRODUCT(($B$9:$AG$10=IFERROR(VLOOKUP($B30,'On call stat'!$S$3:$T$20,2,FALSE),""))*($B$3:$AG$3=U$16))&gt;0)),"DO",
IF(SUMPRODUCT(($B$9:$AG$10=IFERROR(VLOOKUP($B30,'On call stat'!$S$3:$T$20,2,FALSE),""))*($B$3:$AG$3=U$16))&gt;0,"AL",
IF(WEEKDAY(U$16,2)=6,
IF($B30="Chan, Man Wai","HD",
IF($B30="Ng Suet Ping, Yoko","HD",
IF($B30="Li Mui Ying","HD1",
IF($B30="Huang Huanrao, Yoyo",IF(MOD(U$13,2)=1,"HD2",IFERROR(IF(SUMPRODUCT(($B$3:$AG$3=U$16)*($B$5:$AG$7=VLOOKUP($B30,'On call stat'!$S$3:$T$10,2,FALSE)))&gt;0,"D","DO"),"DO")),
IF($B30="Lee Ka Po, Kathy",IF(MOD(U$13,2)=0,"HD2",IFERROR(IF(SUMPRODUCT(($B$3:$AG$3=U$16)*($B$5:$AG$7=VLOOKUP($B30,'On call stat'!$S$3:$T$10,2,FALSE)))&gt;0,"D","DO"),"DO")),
IF($B30="Fan Hoi Wan, Ivy",IF(MOD(U$13,2)=0,"D",IFERROR(IF(SUMPRODUCT(($B$3:$AG$3=U$16)*($B$5:$AG$7=VLOOKUP($B30,'On call stat'!$S$3:$T$10,2,FALSE)))&gt;0,"D","DO"),"DO")),
IFERROR(IF(SUMPRODUCT(($B$3:$AG$3=U$16)*($B$5:$AG$7=VLOOKUP($B30,'On call stat'!$S$3:$T$10,2,FALSE)))&gt;0,"D","DO"),"DO"))))))),
IF($B30="Huang Huanrao, Yoyo",IF(MOD(U$13,2)=1,"D1","B6"),
IF($B30="Lee Ka Po, Kathy",IF(MOD(U$13,2)=0,"D1","B6"),
IFERROR(IF(SUMPRODUCT(($B$3:$AG$3=U$16)*($B$5:$AG$7=VLOOKUP($B30,'On call stat'!$S$3:$T$10,2,FALSE)))&gt;0,"E","D"),"D"))))))))</f>
        <v>AL</v>
      </c>
      <c r="V30" s="40" t="str">
        <f>IF(COUNTIF(PH!$A:$A,V$16)&gt;0,"PH",
IF(AND(SUMPRODUCT(($B$9:$AG$10=IFERROR(VLOOKUP($B30,'On call stat'!$S$3:$T$20,2,FALSE),""))*($B$3:$AG$3=V$16))&gt;0,OR(WEEKDAY(V$16,2)=6,),OR($B30="Chan, Man Wai",$B30="Ng Suet Ping, Yoko",$B30="Li Mui Ying",$B30="Lee Ka Po, Kathy",$B30="Huang Huanrao, Yoyo")),"HDAL",
IF(OR(WEEKDAY(V$16,2)=7,AND(WEEKDAY(V$16,2)=6,SUMPRODUCT(($B$9:$AG$10=IFERROR(VLOOKUP($B30,'On call stat'!$S$3:$T$20,2,FALSE),""))*($B$3:$AG$3=V$16))&gt;0)),"DO",
IF(SUMPRODUCT(($B$9:$AG$10=IFERROR(VLOOKUP($B30,'On call stat'!$S$3:$T$20,2,FALSE),""))*($B$3:$AG$3=V$16))&gt;0,"AL",
IF(WEEKDAY(V$16,2)=6,
IF($B30="Chan, Man Wai","HD",
IF($B30="Ng Suet Ping, Yoko","HD",
IF($B30="Li Mui Ying","HD1",
IF($B30="Huang Huanrao, Yoyo",IF(MOD(V$13,2)=1,"HD2",IFERROR(IF(SUMPRODUCT(($B$3:$AG$3=V$16)*($B$5:$AG$7=VLOOKUP($B30,'On call stat'!$S$3:$T$10,2,FALSE)))&gt;0,"D","DO"),"DO")),
IF($B30="Lee Ka Po, Kathy",IF(MOD(V$13,2)=0,"HD2",IFERROR(IF(SUMPRODUCT(($B$3:$AG$3=V$16)*($B$5:$AG$7=VLOOKUP($B30,'On call stat'!$S$3:$T$10,2,FALSE)))&gt;0,"D","DO"),"DO")),
IF($B30="Fan Hoi Wan, Ivy",IF(MOD(V$13,2)=0,"D",IFERROR(IF(SUMPRODUCT(($B$3:$AG$3=V$16)*($B$5:$AG$7=VLOOKUP($B30,'On call stat'!$S$3:$T$10,2,FALSE)))&gt;0,"D","DO"),"DO")),
IFERROR(IF(SUMPRODUCT(($B$3:$AG$3=V$16)*($B$5:$AG$7=VLOOKUP($B30,'On call stat'!$S$3:$T$10,2,FALSE)))&gt;0,"D","DO"),"DO"))))))),
IF($B30="Huang Huanrao, Yoyo",IF(MOD(V$13,2)=1,"D1","B6"),
IF($B30="Lee Ka Po, Kathy",IF(MOD(V$13,2)=0,"D1","B6"),
IFERROR(IF(SUMPRODUCT(($B$3:$AG$3=V$16)*($B$5:$AG$7=VLOOKUP($B30,'On call stat'!$S$3:$T$10,2,FALSE)))&gt;0,"E","D"),"D"))))))))</f>
        <v>AL</v>
      </c>
      <c r="W30" s="40" t="str">
        <f>IF(COUNTIF(PH!$A:$A,W$16)&gt;0,"PH",
IF(AND(SUMPRODUCT(($B$9:$AG$10=IFERROR(VLOOKUP($B30,'On call stat'!$S$3:$T$20,2,FALSE),""))*($B$3:$AG$3=W$16))&gt;0,OR(WEEKDAY(W$16,2)=6,),OR($B30="Chan, Man Wai",$B30="Ng Suet Ping, Yoko",$B30="Li Mui Ying",$B30="Lee Ka Po, Kathy",$B30="Huang Huanrao, Yoyo")),"HDAL",
IF(OR(WEEKDAY(W$16,2)=7,AND(WEEKDAY(W$16,2)=6,SUMPRODUCT(($B$9:$AG$10=IFERROR(VLOOKUP($B30,'On call stat'!$S$3:$T$20,2,FALSE),""))*($B$3:$AG$3=W$16))&gt;0)),"DO",
IF(SUMPRODUCT(($B$9:$AG$10=IFERROR(VLOOKUP($B30,'On call stat'!$S$3:$T$20,2,FALSE),""))*($B$3:$AG$3=W$16))&gt;0,"AL",
IF(WEEKDAY(W$16,2)=6,
IF($B30="Chan, Man Wai","HD",
IF($B30="Ng Suet Ping, Yoko","HD",
IF($B30="Li Mui Ying","HD1",
IF($B30="Huang Huanrao, Yoyo",IF(MOD(W$13,2)=1,"HD2",IFERROR(IF(SUMPRODUCT(($B$3:$AG$3=W$16)*($B$5:$AG$7=VLOOKUP($B30,'On call stat'!$S$3:$T$10,2,FALSE)))&gt;0,"D","DO"),"DO")),
IF($B30="Lee Ka Po, Kathy",IF(MOD(W$13,2)=0,"HD2",IFERROR(IF(SUMPRODUCT(($B$3:$AG$3=W$16)*($B$5:$AG$7=VLOOKUP($B30,'On call stat'!$S$3:$T$10,2,FALSE)))&gt;0,"D","DO"),"DO")),
IF($B30="Fan Hoi Wan, Ivy",IF(MOD(W$13,2)=0,"D",IFERROR(IF(SUMPRODUCT(($B$3:$AG$3=W$16)*($B$5:$AG$7=VLOOKUP($B30,'On call stat'!$S$3:$T$10,2,FALSE)))&gt;0,"D","DO"),"DO")),
IFERROR(IF(SUMPRODUCT(($B$3:$AG$3=W$16)*($B$5:$AG$7=VLOOKUP($B30,'On call stat'!$S$3:$T$10,2,FALSE)))&gt;0,"D","DO"),"DO"))))))),
IF($B30="Huang Huanrao, Yoyo",IF(MOD(W$13,2)=1,"D1","B6"),
IF($B30="Lee Ka Po, Kathy",IF(MOD(W$13,2)=0,"D1","B6"),
IFERROR(IF(SUMPRODUCT(($B$3:$AG$3=W$16)*($B$5:$AG$7=VLOOKUP($B30,'On call stat'!$S$3:$T$10,2,FALSE)))&gt;0,"E","D"),"D"))))))))</f>
        <v>DO</v>
      </c>
      <c r="X30" s="40" t="str">
        <f>IF(COUNTIF(PH!$A:$A,X$16)&gt;0,"PH",
IF(AND(SUMPRODUCT(($B$9:$AG$10=IFERROR(VLOOKUP($B30,'On call stat'!$S$3:$T$20,2,FALSE),""))*($B$3:$AG$3=X$16))&gt;0,OR(WEEKDAY(X$16,2)=6,),OR($B30="Chan, Man Wai",$B30="Ng Suet Ping, Yoko",$B30="Li Mui Ying",$B30="Lee Ka Po, Kathy",$B30="Huang Huanrao, Yoyo")),"HDAL",
IF(OR(WEEKDAY(X$16,2)=7,AND(WEEKDAY(X$16,2)=6,SUMPRODUCT(($B$9:$AG$10=IFERROR(VLOOKUP($B30,'On call stat'!$S$3:$T$20,2,FALSE),""))*($B$3:$AG$3=X$16))&gt;0)),"DO",
IF(SUMPRODUCT(($B$9:$AG$10=IFERROR(VLOOKUP($B30,'On call stat'!$S$3:$T$20,2,FALSE),""))*($B$3:$AG$3=X$16))&gt;0,"AL",
IF(WEEKDAY(X$16,2)=6,
IF($B30="Chan, Man Wai","HD",
IF($B30="Ng Suet Ping, Yoko","HD",
IF($B30="Li Mui Ying","HD1",
IF($B30="Huang Huanrao, Yoyo",IF(MOD(X$13,2)=1,"HD2",IFERROR(IF(SUMPRODUCT(($B$3:$AG$3=X$16)*($B$5:$AG$7=VLOOKUP($B30,'On call stat'!$S$3:$T$10,2,FALSE)))&gt;0,"D","DO"),"DO")),
IF($B30="Lee Ka Po, Kathy",IF(MOD(X$13,2)=0,"HD2",IFERROR(IF(SUMPRODUCT(($B$3:$AG$3=X$16)*($B$5:$AG$7=VLOOKUP($B30,'On call stat'!$S$3:$T$10,2,FALSE)))&gt;0,"D","DO"),"DO")),
IF($B30="Fan Hoi Wan, Ivy",IF(MOD(X$13,2)=0,"D",IFERROR(IF(SUMPRODUCT(($B$3:$AG$3=X$16)*($B$5:$AG$7=VLOOKUP($B30,'On call stat'!$S$3:$T$10,2,FALSE)))&gt;0,"D","DO"),"DO")),
IFERROR(IF(SUMPRODUCT(($B$3:$AG$3=X$16)*($B$5:$AG$7=VLOOKUP($B30,'On call stat'!$S$3:$T$10,2,FALSE)))&gt;0,"D","DO"),"DO"))))))),
IF($B30="Huang Huanrao, Yoyo",IF(MOD(X$13,2)=1,"D1","B6"),
IF($B30="Lee Ka Po, Kathy",IF(MOD(X$13,2)=0,"D1","B6"),
IFERROR(IF(SUMPRODUCT(($B$3:$AG$3=X$16)*($B$5:$AG$7=VLOOKUP($B30,'On call stat'!$S$3:$T$10,2,FALSE)))&gt;0,"E","D"),"D"))))))))</f>
        <v>DO</v>
      </c>
      <c r="Y30" s="40" t="str">
        <f>IF(COUNTIF(PH!$A:$A,Y$16)&gt;0,"PH",
IF(AND(SUMPRODUCT(($B$9:$AG$10=IFERROR(VLOOKUP($B30,'On call stat'!$S$3:$T$20,2,FALSE),""))*($B$3:$AG$3=Y$16))&gt;0,OR(WEEKDAY(Y$16,2)=6,),OR($B30="Chan, Man Wai",$B30="Ng Suet Ping, Yoko",$B30="Li Mui Ying",$B30="Lee Ka Po, Kathy",$B30="Huang Huanrao, Yoyo")),"HDAL",
IF(OR(WEEKDAY(Y$16,2)=7,AND(WEEKDAY(Y$16,2)=6,SUMPRODUCT(($B$9:$AG$10=IFERROR(VLOOKUP($B30,'On call stat'!$S$3:$T$20,2,FALSE),""))*($B$3:$AG$3=Y$16))&gt;0)),"DO",
IF(SUMPRODUCT(($B$9:$AG$10=IFERROR(VLOOKUP($B30,'On call stat'!$S$3:$T$20,2,FALSE),""))*($B$3:$AG$3=Y$16))&gt;0,"AL",
IF(WEEKDAY(Y$16,2)=6,
IF($B30="Chan, Man Wai","HD",
IF($B30="Ng Suet Ping, Yoko","HD",
IF($B30="Li Mui Ying","HD1",
IF($B30="Huang Huanrao, Yoyo",IF(MOD(Y$13,2)=1,"HD2",IFERROR(IF(SUMPRODUCT(($B$3:$AG$3=Y$16)*($B$5:$AG$7=VLOOKUP($B30,'On call stat'!$S$3:$T$10,2,FALSE)))&gt;0,"D","DO"),"DO")),
IF($B30="Lee Ka Po, Kathy",IF(MOD(Y$13,2)=0,"HD2",IFERROR(IF(SUMPRODUCT(($B$3:$AG$3=Y$16)*($B$5:$AG$7=VLOOKUP($B30,'On call stat'!$S$3:$T$10,2,FALSE)))&gt;0,"D","DO"),"DO")),
IF($B30="Fan Hoi Wan, Ivy",IF(MOD(Y$13,2)=0,"D",IFERROR(IF(SUMPRODUCT(($B$3:$AG$3=Y$16)*($B$5:$AG$7=VLOOKUP($B30,'On call stat'!$S$3:$T$10,2,FALSE)))&gt;0,"D","DO"),"DO")),
IFERROR(IF(SUMPRODUCT(($B$3:$AG$3=Y$16)*($B$5:$AG$7=VLOOKUP($B30,'On call stat'!$S$3:$T$10,2,FALSE)))&gt;0,"D","DO"),"DO"))))))),
IF($B30="Huang Huanrao, Yoyo",IF(MOD(Y$13,2)=1,"D1","B6"),
IF($B30="Lee Ka Po, Kathy",IF(MOD(Y$13,2)=0,"D1","B6"),
IFERROR(IF(SUMPRODUCT(($B$3:$AG$3=Y$16)*($B$5:$AG$7=VLOOKUP($B30,'On call stat'!$S$3:$T$10,2,FALSE)))&gt;0,"E","D"),"D"))))))))</f>
        <v>AL</v>
      </c>
      <c r="Z30" s="40" t="str">
        <f>IF(COUNTIF(PH!$A:$A,Z$16)&gt;0,"PH",
IF(AND(SUMPRODUCT(($B$9:$AG$10=IFERROR(VLOOKUP($B30,'On call stat'!$S$3:$T$20,2,FALSE),""))*($B$3:$AG$3=Z$16))&gt;0,OR(WEEKDAY(Z$16,2)=6,),OR($B30="Chan, Man Wai",$B30="Ng Suet Ping, Yoko",$B30="Li Mui Ying",$B30="Lee Ka Po, Kathy",$B30="Huang Huanrao, Yoyo")),"HDAL",
IF(OR(WEEKDAY(Z$16,2)=7,AND(WEEKDAY(Z$16,2)=6,SUMPRODUCT(($B$9:$AG$10=IFERROR(VLOOKUP($B30,'On call stat'!$S$3:$T$20,2,FALSE),""))*($B$3:$AG$3=Z$16))&gt;0)),"DO",
IF(SUMPRODUCT(($B$9:$AG$10=IFERROR(VLOOKUP($B30,'On call stat'!$S$3:$T$20,2,FALSE),""))*($B$3:$AG$3=Z$16))&gt;0,"AL",
IF(WEEKDAY(Z$16,2)=6,
IF($B30="Chan, Man Wai","HD",
IF($B30="Ng Suet Ping, Yoko","HD",
IF($B30="Li Mui Ying","HD1",
IF($B30="Huang Huanrao, Yoyo",IF(MOD(Z$13,2)=1,"HD2",IFERROR(IF(SUMPRODUCT(($B$3:$AG$3=Z$16)*($B$5:$AG$7=VLOOKUP($B30,'On call stat'!$S$3:$T$10,2,FALSE)))&gt;0,"D","DO"),"DO")),
IF($B30="Lee Ka Po, Kathy",IF(MOD(Z$13,2)=0,"HD2",IFERROR(IF(SUMPRODUCT(($B$3:$AG$3=Z$16)*($B$5:$AG$7=VLOOKUP($B30,'On call stat'!$S$3:$T$10,2,FALSE)))&gt;0,"D","DO"),"DO")),
IF($B30="Fan Hoi Wan, Ivy",IF(MOD(Z$13,2)=0,"D",IFERROR(IF(SUMPRODUCT(($B$3:$AG$3=Z$16)*($B$5:$AG$7=VLOOKUP($B30,'On call stat'!$S$3:$T$10,2,FALSE)))&gt;0,"D","DO"),"DO")),
IFERROR(IF(SUMPRODUCT(($B$3:$AG$3=Z$16)*($B$5:$AG$7=VLOOKUP($B30,'On call stat'!$S$3:$T$10,2,FALSE)))&gt;0,"D","DO"),"DO"))))))),
IF($B30="Huang Huanrao, Yoyo",IF(MOD(Z$13,2)=1,"D1","B6"),
IF($B30="Lee Ka Po, Kathy",IF(MOD(Z$13,2)=0,"D1","B6"),
IFERROR(IF(SUMPRODUCT(($B$3:$AG$3=Z$16)*($B$5:$AG$7=VLOOKUP($B30,'On call stat'!$S$3:$T$10,2,FALSE)))&gt;0,"E","D"),"D"))))))))</f>
        <v>AL</v>
      </c>
      <c r="AA30" s="40" t="str">
        <f>IF(COUNTIF(PH!$A:$A,AA$16)&gt;0,"PH",
IF(AND(SUMPRODUCT(($B$9:$AG$10=IFERROR(VLOOKUP($B30,'On call stat'!$S$3:$T$20,2,FALSE),""))*($B$3:$AG$3=AA$16))&gt;0,OR(WEEKDAY(AA$16,2)=6,),OR($B30="Chan, Man Wai",$B30="Ng Suet Ping, Yoko",$B30="Li Mui Ying",$B30="Lee Ka Po, Kathy",$B30="Huang Huanrao, Yoyo")),"HDAL",
IF(OR(WEEKDAY(AA$16,2)=7,AND(WEEKDAY(AA$16,2)=6,SUMPRODUCT(($B$9:$AG$10=IFERROR(VLOOKUP($B30,'On call stat'!$S$3:$T$20,2,FALSE),""))*($B$3:$AG$3=AA$16))&gt;0)),"DO",
IF(SUMPRODUCT(($B$9:$AG$10=IFERROR(VLOOKUP($B30,'On call stat'!$S$3:$T$20,2,FALSE),""))*($B$3:$AG$3=AA$16))&gt;0,"AL",
IF(WEEKDAY(AA$16,2)=6,
IF($B30="Chan, Man Wai","HD",
IF($B30="Ng Suet Ping, Yoko","HD",
IF($B30="Li Mui Ying","HD1",
IF($B30="Huang Huanrao, Yoyo",IF(MOD(AA$13,2)=1,"HD2",IFERROR(IF(SUMPRODUCT(($B$3:$AG$3=AA$16)*($B$5:$AG$7=VLOOKUP($B30,'On call stat'!$S$3:$T$10,2,FALSE)))&gt;0,"D","DO"),"DO")),
IF($B30="Lee Ka Po, Kathy",IF(MOD(AA$13,2)=0,"HD2",IFERROR(IF(SUMPRODUCT(($B$3:$AG$3=AA$16)*($B$5:$AG$7=VLOOKUP($B30,'On call stat'!$S$3:$T$10,2,FALSE)))&gt;0,"D","DO"),"DO")),
IF($B30="Fan Hoi Wan, Ivy",IF(MOD(AA$13,2)=0,"D",IFERROR(IF(SUMPRODUCT(($B$3:$AG$3=AA$16)*($B$5:$AG$7=VLOOKUP($B30,'On call stat'!$S$3:$T$10,2,FALSE)))&gt;0,"D","DO"),"DO")),
IFERROR(IF(SUMPRODUCT(($B$3:$AG$3=AA$16)*($B$5:$AG$7=VLOOKUP($B30,'On call stat'!$S$3:$T$10,2,FALSE)))&gt;0,"D","DO"),"DO"))))))),
IF($B30="Huang Huanrao, Yoyo",IF(MOD(AA$13,2)=1,"D1","B6"),
IF($B30="Lee Ka Po, Kathy",IF(MOD(AA$13,2)=0,"D1","B6"),
IFERROR(IF(SUMPRODUCT(($B$3:$AG$3=AA$16)*($B$5:$AG$7=VLOOKUP($B30,'On call stat'!$S$3:$T$10,2,FALSE)))&gt;0,"E","D"),"D"))))))))</f>
        <v>AL</v>
      </c>
      <c r="AB30" s="40" t="str">
        <f>IF(COUNTIF(PH!$A:$A,AB$16)&gt;0,"PH",
IF(AND(SUMPRODUCT(($B$9:$AG$10=IFERROR(VLOOKUP($B30,'On call stat'!$S$3:$T$20,2,FALSE),""))*($B$3:$AG$3=AB$16))&gt;0,OR(WEEKDAY(AB$16,2)=6,),OR($B30="Chan, Man Wai",$B30="Ng Suet Ping, Yoko",$B30="Li Mui Ying",$B30="Lee Ka Po, Kathy",$B30="Huang Huanrao, Yoyo")),"HDAL",
IF(OR(WEEKDAY(AB$16,2)=7,AND(WEEKDAY(AB$16,2)=6,SUMPRODUCT(($B$9:$AG$10=IFERROR(VLOOKUP($B30,'On call stat'!$S$3:$T$20,2,FALSE),""))*($B$3:$AG$3=AB$16))&gt;0)),"DO",
IF(SUMPRODUCT(($B$9:$AG$10=IFERROR(VLOOKUP($B30,'On call stat'!$S$3:$T$20,2,FALSE),""))*($B$3:$AG$3=AB$16))&gt;0,"AL",
IF(WEEKDAY(AB$16,2)=6,
IF($B30="Chan, Man Wai","HD",
IF($B30="Ng Suet Ping, Yoko","HD",
IF($B30="Li Mui Ying","HD1",
IF($B30="Huang Huanrao, Yoyo",IF(MOD(AB$13,2)=1,"HD2",IFERROR(IF(SUMPRODUCT(($B$3:$AG$3=AB$16)*($B$5:$AG$7=VLOOKUP($B30,'On call stat'!$S$3:$T$10,2,FALSE)))&gt;0,"D","DO"),"DO")),
IF($B30="Lee Ka Po, Kathy",IF(MOD(AB$13,2)=0,"HD2",IFERROR(IF(SUMPRODUCT(($B$3:$AG$3=AB$16)*($B$5:$AG$7=VLOOKUP($B30,'On call stat'!$S$3:$T$10,2,FALSE)))&gt;0,"D","DO"),"DO")),
IF($B30="Fan Hoi Wan, Ivy",IF(MOD(AB$13,2)=0,"D",IFERROR(IF(SUMPRODUCT(($B$3:$AG$3=AB$16)*($B$5:$AG$7=VLOOKUP($B30,'On call stat'!$S$3:$T$10,2,FALSE)))&gt;0,"D","DO"),"DO")),
IFERROR(IF(SUMPRODUCT(($B$3:$AG$3=AB$16)*($B$5:$AG$7=VLOOKUP($B30,'On call stat'!$S$3:$T$10,2,FALSE)))&gt;0,"D","DO"),"DO"))))))),
IF($B30="Huang Huanrao, Yoyo",IF(MOD(AB$13,2)=1,"D1","B6"),
IF($B30="Lee Ka Po, Kathy",IF(MOD(AB$13,2)=0,"D1","B6"),
IFERROR(IF(SUMPRODUCT(($B$3:$AG$3=AB$16)*($B$5:$AG$7=VLOOKUP($B30,'On call stat'!$S$3:$T$10,2,FALSE)))&gt;0,"E","D"),"D"))))))))</f>
        <v>AL</v>
      </c>
      <c r="AC30" s="40" t="str">
        <f>IF(COUNTIF(PH!$A:$A,AC$16)&gt;0,"PH",
IF(AND(SUMPRODUCT(($B$9:$AG$10=IFERROR(VLOOKUP($B30,'On call stat'!$S$3:$T$20,2,FALSE),""))*($B$3:$AG$3=AC$16))&gt;0,OR(WEEKDAY(AC$16,2)=6,),OR($B30="Chan, Man Wai",$B30="Ng Suet Ping, Yoko",$B30="Li Mui Ying",$B30="Lee Ka Po, Kathy",$B30="Huang Huanrao, Yoyo")),"HDAL",
IF(OR(WEEKDAY(AC$16,2)=7,AND(WEEKDAY(AC$16,2)=6,SUMPRODUCT(($B$9:$AG$10=IFERROR(VLOOKUP($B30,'On call stat'!$S$3:$T$20,2,FALSE),""))*($B$3:$AG$3=AC$16))&gt;0)),"DO",
IF(SUMPRODUCT(($B$9:$AG$10=IFERROR(VLOOKUP($B30,'On call stat'!$S$3:$T$20,2,FALSE),""))*($B$3:$AG$3=AC$16))&gt;0,"AL",
IF(WEEKDAY(AC$16,2)=6,
IF($B30="Chan, Man Wai","HD",
IF($B30="Ng Suet Ping, Yoko","HD",
IF($B30="Li Mui Ying","HD1",
IF($B30="Huang Huanrao, Yoyo",IF(MOD(AC$13,2)=1,"HD2",IFERROR(IF(SUMPRODUCT(($B$3:$AG$3=AC$16)*($B$5:$AG$7=VLOOKUP($B30,'On call stat'!$S$3:$T$10,2,FALSE)))&gt;0,"D","DO"),"DO")),
IF($B30="Lee Ka Po, Kathy",IF(MOD(AC$13,2)=0,"HD2",IFERROR(IF(SUMPRODUCT(($B$3:$AG$3=AC$16)*($B$5:$AG$7=VLOOKUP($B30,'On call stat'!$S$3:$T$10,2,FALSE)))&gt;0,"D","DO"),"DO")),
IF($B30="Fan Hoi Wan, Ivy",IF(MOD(AC$13,2)=0,"D",IFERROR(IF(SUMPRODUCT(($B$3:$AG$3=AC$16)*($B$5:$AG$7=VLOOKUP($B30,'On call stat'!$S$3:$T$10,2,FALSE)))&gt;0,"D","DO"),"DO")),
IFERROR(IF(SUMPRODUCT(($B$3:$AG$3=AC$16)*($B$5:$AG$7=VLOOKUP($B30,'On call stat'!$S$3:$T$10,2,FALSE)))&gt;0,"D","DO"),"DO"))))))),
IF($B30="Huang Huanrao, Yoyo",IF(MOD(AC$13,2)=1,"D1","B6"),
IF($B30="Lee Ka Po, Kathy",IF(MOD(AC$13,2)=0,"D1","B6"),
IFERROR(IF(SUMPRODUCT(($B$3:$AG$3=AC$16)*($B$5:$AG$7=VLOOKUP($B30,'On call stat'!$S$3:$T$10,2,FALSE)))&gt;0,"E","D"),"D"))))))))</f>
        <v>AL</v>
      </c>
      <c r="AD30" s="40" t="str">
        <f>IF(COUNTIF(PH!$A:$A,AD$16)&gt;0,"PH",
IF(AND(SUMPRODUCT(($B$9:$AG$10=IFERROR(VLOOKUP($B30,'On call stat'!$S$3:$T$20,2,FALSE),""))*($B$3:$AG$3=AD$16))&gt;0,OR(WEEKDAY(AD$16,2)=6,),OR($B30="Chan, Man Wai",$B30="Ng Suet Ping, Yoko",$B30="Li Mui Ying",$B30="Lee Ka Po, Kathy",$B30="Huang Huanrao, Yoyo")),"HDAL",
IF(OR(WEEKDAY(AD$16,2)=7,AND(WEEKDAY(AD$16,2)=6,SUMPRODUCT(($B$9:$AG$10=IFERROR(VLOOKUP($B30,'On call stat'!$S$3:$T$20,2,FALSE),""))*($B$3:$AG$3=AD$16))&gt;0)),"DO",
IF(SUMPRODUCT(($B$9:$AG$10=IFERROR(VLOOKUP($B30,'On call stat'!$S$3:$T$20,2,FALSE),""))*($B$3:$AG$3=AD$16))&gt;0,"AL",
IF(WEEKDAY(AD$16,2)=6,
IF($B30="Chan, Man Wai","HD",
IF($B30="Ng Suet Ping, Yoko","HD",
IF($B30="Li Mui Ying","HD1",
IF($B30="Huang Huanrao, Yoyo",IF(MOD(AD$13,2)=1,"HD2",IFERROR(IF(SUMPRODUCT(($B$3:$AG$3=AD$16)*($B$5:$AG$7=VLOOKUP($B30,'On call stat'!$S$3:$T$10,2,FALSE)))&gt;0,"D","DO"),"DO")),
IF($B30="Lee Ka Po, Kathy",IF(MOD(AD$13,2)=0,"HD2",IFERROR(IF(SUMPRODUCT(($B$3:$AG$3=AD$16)*($B$5:$AG$7=VLOOKUP($B30,'On call stat'!$S$3:$T$10,2,FALSE)))&gt;0,"D","DO"),"DO")),
IF($B30="Fan Hoi Wan, Ivy",IF(MOD(AD$13,2)=0,"D",IFERROR(IF(SUMPRODUCT(($B$3:$AG$3=AD$16)*($B$5:$AG$7=VLOOKUP($B30,'On call stat'!$S$3:$T$10,2,FALSE)))&gt;0,"D","DO"),"DO")),
IFERROR(IF(SUMPRODUCT(($B$3:$AG$3=AD$16)*($B$5:$AG$7=VLOOKUP($B30,'On call stat'!$S$3:$T$10,2,FALSE)))&gt;0,"D","DO"),"DO"))))))),
IF($B30="Huang Huanrao, Yoyo",IF(MOD(AD$13,2)=1,"D1","B6"),
IF($B30="Lee Ka Po, Kathy",IF(MOD(AD$13,2)=0,"D1","B6"),
IFERROR(IF(SUMPRODUCT(($B$3:$AG$3=AD$16)*($B$5:$AG$7=VLOOKUP($B30,'On call stat'!$S$3:$T$10,2,FALSE)))&gt;0,"E","D"),"D"))))))))</f>
        <v>DO</v>
      </c>
      <c r="AE30" s="40" t="str">
        <f>IF(COUNTIF(PH!$A:$A,AE$16)&gt;0,"PH",
IF(AND(SUMPRODUCT(($B$9:$AG$10=IFERROR(VLOOKUP($B30,'On call stat'!$S$3:$T$20,2,FALSE),""))*($B$3:$AG$3=AE$16))&gt;0,OR(WEEKDAY(AE$16,2)=6,),OR($B30="Chan, Man Wai",$B30="Ng Suet Ping, Yoko",$B30="Li Mui Ying",$B30="Lee Ka Po, Kathy",$B30="Huang Huanrao, Yoyo")),"HDAL",
IF(OR(WEEKDAY(AE$16,2)=7,AND(WEEKDAY(AE$16,2)=6,SUMPRODUCT(($B$9:$AG$10=IFERROR(VLOOKUP($B30,'On call stat'!$S$3:$T$20,2,FALSE),""))*($B$3:$AG$3=AE$16))&gt;0)),"DO",
IF(SUMPRODUCT(($B$9:$AG$10=IFERROR(VLOOKUP($B30,'On call stat'!$S$3:$T$20,2,FALSE),""))*($B$3:$AG$3=AE$16))&gt;0,"AL",
IF(WEEKDAY(AE$16,2)=6,
IF($B30="Chan, Man Wai","HD",
IF($B30="Ng Suet Ping, Yoko","HD",
IF($B30="Li Mui Ying","HD1",
IF($B30="Huang Huanrao, Yoyo",IF(MOD(AE$13,2)=1,"HD2",IFERROR(IF(SUMPRODUCT(($B$3:$AG$3=AE$16)*($B$5:$AG$7=VLOOKUP($B30,'On call stat'!$S$3:$T$10,2,FALSE)))&gt;0,"D","DO"),"DO")),
IF($B30="Lee Ka Po, Kathy",IF(MOD(AE$13,2)=0,"HD2",IFERROR(IF(SUMPRODUCT(($B$3:$AG$3=AE$16)*($B$5:$AG$7=VLOOKUP($B30,'On call stat'!$S$3:$T$10,2,FALSE)))&gt;0,"D","DO"),"DO")),
IF($B30="Fan Hoi Wan, Ivy",IF(MOD(AE$13,2)=0,"D",IFERROR(IF(SUMPRODUCT(($B$3:$AG$3=AE$16)*($B$5:$AG$7=VLOOKUP($B30,'On call stat'!$S$3:$T$10,2,FALSE)))&gt;0,"D","DO"),"DO")),
IFERROR(IF(SUMPRODUCT(($B$3:$AG$3=AE$16)*($B$5:$AG$7=VLOOKUP($B30,'On call stat'!$S$3:$T$10,2,FALSE)))&gt;0,"D","DO"),"DO"))))))),
IF($B30="Huang Huanrao, Yoyo",IF(MOD(AE$13,2)=1,"D1","B6"),
IF($B30="Lee Ka Po, Kathy",IF(MOD(AE$13,2)=0,"D1","B6"),
IFERROR(IF(SUMPRODUCT(($B$3:$AG$3=AE$16)*($B$5:$AG$7=VLOOKUP($B30,'On call stat'!$S$3:$T$10,2,FALSE)))&gt;0,"E","D"),"D"))))))))</f>
        <v>DO</v>
      </c>
      <c r="AF30" s="40" t="str">
        <f>IF(COUNTIF(PH!$A:$A,AF$16)&gt;0,"PH",
IF(AND(SUMPRODUCT(($B$9:$AG$10=IFERROR(VLOOKUP($B30,'On call stat'!$S$3:$T$20,2,FALSE),""))*($B$3:$AG$3=AF$16))&gt;0,OR(WEEKDAY(AF$16,2)=6,),OR($B30="Chan, Man Wai",$B30="Ng Suet Ping, Yoko",$B30="Li Mui Ying",$B30="Lee Ka Po, Kathy",$B30="Huang Huanrao, Yoyo")),"HDAL",
IF(OR(WEEKDAY(AF$16,2)=7,AND(WEEKDAY(AF$16,2)=6,SUMPRODUCT(($B$9:$AG$10=IFERROR(VLOOKUP($B30,'On call stat'!$S$3:$T$20,2,FALSE),""))*($B$3:$AG$3=AF$16))&gt;0)),"DO",
IF(SUMPRODUCT(($B$9:$AG$10=IFERROR(VLOOKUP($B30,'On call stat'!$S$3:$T$20,2,FALSE),""))*($B$3:$AG$3=AF$16))&gt;0,"AL",
IF(WEEKDAY(AF$16,2)=6,
IF($B30="Chan, Man Wai","HD",
IF($B30="Ng Suet Ping, Yoko","HD",
IF($B30="Li Mui Ying","HD1",
IF($B30="Huang Huanrao, Yoyo",IF(MOD(AF$13,2)=1,"HD2",IFERROR(IF(SUMPRODUCT(($B$3:$AG$3=AF$16)*($B$5:$AG$7=VLOOKUP($B30,'On call stat'!$S$3:$T$10,2,FALSE)))&gt;0,"D","DO"),"DO")),
IF($B30="Lee Ka Po, Kathy",IF(MOD(AF$13,2)=0,"HD2",IFERROR(IF(SUMPRODUCT(($B$3:$AG$3=AF$16)*($B$5:$AG$7=VLOOKUP($B30,'On call stat'!$S$3:$T$10,2,FALSE)))&gt;0,"D","DO"),"DO")),
IF($B30="Fan Hoi Wan, Ivy",IF(MOD(AF$13,2)=0,"D",IFERROR(IF(SUMPRODUCT(($B$3:$AG$3=AF$16)*($B$5:$AG$7=VLOOKUP($B30,'On call stat'!$S$3:$T$10,2,FALSE)))&gt;0,"D","DO"),"DO")),
IFERROR(IF(SUMPRODUCT(($B$3:$AG$3=AF$16)*($B$5:$AG$7=VLOOKUP($B30,'On call stat'!$S$3:$T$10,2,FALSE)))&gt;0,"D","DO"),"DO"))))))),
IF($B30="Huang Huanrao, Yoyo",IF(MOD(AF$13,2)=1,"D1","B6"),
IF($B30="Lee Ka Po, Kathy",IF(MOD(AF$13,2)=0,"D1","B6"),
IFERROR(IF(SUMPRODUCT(($B$3:$AG$3=AF$16)*($B$5:$AG$7=VLOOKUP($B30,'On call stat'!$S$3:$T$10,2,FALSE)))&gt;0,"E","D"),"D"))))))))</f>
        <v>AL</v>
      </c>
      <c r="AG30" s="40" t="str">
        <f>IF(COUNTIF(PH!$A:$A,AG$16)&gt;0,"PH",
IF(AND(SUMPRODUCT(($B$9:$AG$10=IFERROR(VLOOKUP($B30,'On call stat'!$S$3:$T$20,2,FALSE),""))*($B$3:$AG$3=AG$16))&gt;0,OR(WEEKDAY(AG$16,2)=6,),OR($B30="Chan, Man Wai",$B30="Ng Suet Ping, Yoko",$B30="Li Mui Ying",$B30="Lee Ka Po, Kathy",$B30="Huang Huanrao, Yoyo")),"HDAL",
IF(OR(WEEKDAY(AG$16,2)=7,AND(WEEKDAY(AG$16,2)=6,SUMPRODUCT(($B$9:$AG$10=IFERROR(VLOOKUP($B30,'On call stat'!$S$3:$T$20,2,FALSE),""))*($B$3:$AG$3=AG$16))&gt;0)),"DO",
IF(SUMPRODUCT(($B$9:$AG$10=IFERROR(VLOOKUP($B30,'On call stat'!$S$3:$T$20,2,FALSE),""))*($B$3:$AG$3=AG$16))&gt;0,"AL",
IF(WEEKDAY(AG$16,2)=6,
IF($B30="Chan, Man Wai","HD",
IF($B30="Ng Suet Ping, Yoko","HD",
IF($B30="Li Mui Ying","HD1",
IF($B30="Huang Huanrao, Yoyo",IF(MOD(AG$13,2)=1,"HD2",IFERROR(IF(SUMPRODUCT(($B$3:$AG$3=AG$16)*($B$5:$AG$7=VLOOKUP($B30,'On call stat'!$S$3:$T$10,2,FALSE)))&gt;0,"D","DO"),"DO")),
IF($B30="Lee Ka Po, Kathy",IF(MOD(AG$13,2)=0,"HD2",IFERROR(IF(SUMPRODUCT(($B$3:$AG$3=AG$16)*($B$5:$AG$7=VLOOKUP($B30,'On call stat'!$S$3:$T$10,2,FALSE)))&gt;0,"D","DO"),"DO")),
IF($B30="Fan Hoi Wan, Ivy",IF(MOD(AG$13,2)=0,"D",IFERROR(IF(SUMPRODUCT(($B$3:$AG$3=AG$16)*($B$5:$AG$7=VLOOKUP($B30,'On call stat'!$S$3:$T$10,2,FALSE)))&gt;0,"D","DO"),"DO")),
IFERROR(IF(SUMPRODUCT(($B$3:$AG$3=AG$16)*($B$5:$AG$7=VLOOKUP($B30,'On call stat'!$S$3:$T$10,2,FALSE)))&gt;0,"D","DO"),"DO"))))))),
IF($B30="Huang Huanrao, Yoyo",IF(MOD(AG$13,2)=1,"D1","B6"),
IF($B30="Lee Ka Po, Kathy",IF(MOD(AG$13,2)=0,"D1","B6"),
IFERROR(IF(SUMPRODUCT(($B$3:$AG$3=AG$16)*($B$5:$AG$7=VLOOKUP($B30,'On call stat'!$S$3:$T$10,2,FALSE)))&gt;0,"E","D"),"D"))))))))</f>
        <v>AL</v>
      </c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176</v>
      </c>
      <c r="AN30" s="68"/>
      <c r="AO30" s="67"/>
      <c r="AP30" s="67">
        <f>AO30+Feb!AP30</f>
        <v>0</v>
      </c>
    </row>
    <row r="31" spans="1:42" ht="24.7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DO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HD1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DO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HD1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DO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HD1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DO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HD1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DO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D</v>
      </c>
      <c r="AK31" s="11" t="s">
        <v>136</v>
      </c>
      <c r="AL31" s="11">
        <f>SUMPRODUCT((C31:AG31="D")*8) + SUMPRODUCT((C31:AG31="E")*8) + SUMPRODUCT((C31:AG31="HD1")*4)</f>
        <v>192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192</v>
      </c>
      <c r="AO31" s="67">
        <f t="shared" si="6"/>
        <v>0</v>
      </c>
      <c r="AP31" s="67">
        <f>AO31+Feb!AP31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10">
    <cfRule type="expression" dxfId="189" priority="41">
      <formula>WEEKDAY(C3,2)=7</formula>
    </cfRule>
  </conditionalFormatting>
  <conditionalFormatting sqref="C4:AG10">
    <cfRule type="expression" dxfId="188" priority="38">
      <formula>C$4="Sun"</formula>
    </cfRule>
  </conditionalFormatting>
  <conditionalFormatting sqref="C5:AG10">
    <cfRule type="expression" dxfId="187" priority="37">
      <formula>B$20="sun"</formula>
    </cfRule>
  </conditionalFormatting>
  <conditionalFormatting sqref="C9:AG10">
    <cfRule type="expression" dxfId="186" priority="19">
      <formula>C$4="Sun"</formula>
    </cfRule>
    <cfRule type="expression" dxfId="184" priority="22">
      <formula>WEEKDAY(C9,2)=7</formula>
    </cfRule>
  </conditionalFormatting>
  <conditionalFormatting sqref="C17:AG17">
    <cfRule type="expression" dxfId="181" priority="25">
      <formula>C$17="sun"</formula>
    </cfRule>
    <cfRule type="expression" dxfId="180" priority="26">
      <formula>C$17="sat"</formula>
    </cfRule>
  </conditionalFormatting>
  <conditionalFormatting sqref="C18:AG31">
    <cfRule type="expression" dxfId="179" priority="1">
      <formula>C18="HDAL"</formula>
    </cfRule>
    <cfRule type="expression" dxfId="178" priority="2">
      <formula>C18="PH"</formula>
    </cfRule>
    <cfRule type="expression" dxfId="177" priority="3">
      <formula>C18="AL"</formula>
    </cfRule>
    <cfRule type="expression" dxfId="175" priority="5">
      <formula>C18="DO"</formula>
    </cfRule>
  </conditionalFormatting>
  <conditionalFormatting sqref="AO18:AP31">
    <cfRule type="expression" dxfId="174" priority="6">
      <formula>AO18&gt;0</formula>
    </cfRule>
    <cfRule type="expression" dxfId="173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6A613652-64FB-4145-A363-B76DD549AF0F}">
            <xm:f>COUNTIF(PH!$A:$A, C3)&gt;0</xm:f>
            <x14:dxf>
              <font>
                <color rgb="FFFF0000"/>
              </font>
            </x14:dxf>
          </x14:cfRule>
          <x14:cfRule type="expression" priority="39" id="{85A8AD17-1B10-4F09-9B69-9C4482F4B59C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20" id="{06339F41-EC51-40A3-A2B7-F49E6D9A7CC9}">
            <xm:f>AND(COUNTIF(PH!$A:$A, C9)&gt;0, WEEKDAY(C9,2)=6)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C9:AG10</xm:sqref>
        </x14:conditionalFormatting>
        <x14:conditionalFormatting xmlns:xm="http://schemas.microsoft.com/office/excel/2006/main">
          <x14:cfRule type="expression" priority="13" id="{0166C3CA-75FB-4E12-92C2-FE42AB5F8DBF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14" id="{FAB31A3D-496F-4904-910B-17E44E8CC201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245E8262-1774-4DE6-B9FB-1954C3B83FFF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CBBCDA-4179-4528-8CA5-112222623B52}">
          <x14:formula1>
            <xm:f>'On call stat'!$T$3:$T$21</xm:f>
          </x14:formula1>
          <xm:sqref>C5:C10 D5:O6 P5 Q5:AG6 D7:AG10</xm:sqref>
        </x14:dataValidation>
        <x14:dataValidation type="list" allowBlank="1" showInputMessage="1" showErrorMessage="1" xr:uid="{D155C7D4-B149-453A-89A9-0CB742F35671}">
          <x14:formula1>
            <xm:f>'On call stat'!$T$3:$T$18</xm:f>
          </x14:formula1>
          <xm:sqref>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B49E-1013-46F4-86DD-F8E1224E6AFD}">
  <sheetPr codeName="Sheet5"/>
  <dimension ref="A1:AP48"/>
  <sheetViews>
    <sheetView zoomScale="70" zoomScaleNormal="70" workbookViewId="0">
      <selection activeCell="H1" sqref="H1"/>
    </sheetView>
  </sheetViews>
  <sheetFormatPr defaultRowHeight="15"/>
  <cols>
    <col min="2" max="2" width="31.42578125" customWidth="1"/>
    <col min="3" max="7" width="9.140625" customWidth="1"/>
    <col min="35" max="35" width="9.140625" style="42"/>
    <col min="36" max="36" width="0" style="42" hidden="1" customWidth="1"/>
    <col min="40" max="40" width="13.140625" customWidth="1"/>
  </cols>
  <sheetData>
    <row r="1" spans="1:42">
      <c r="A1" t="s">
        <v>19</v>
      </c>
      <c r="B1" s="18">
        <f>Master!B1</f>
        <v>2026</v>
      </c>
    </row>
    <row r="3" spans="1:42">
      <c r="C3" s="73">
        <f>IFERROR(IF(Master!B30="", "", Master!B30), "")</f>
        <v>46113</v>
      </c>
      <c r="D3" s="73">
        <f>IFERROR(IF(Master!C30="", "", Master!C30), "")</f>
        <v>46114</v>
      </c>
      <c r="E3" s="73">
        <f>IFERROR(IF(Master!D30="", "", Master!D30), "")</f>
        <v>46115</v>
      </c>
      <c r="F3" s="73">
        <f>IFERROR(IF(Master!E30="", "", Master!E30), "")</f>
        <v>46116</v>
      </c>
      <c r="G3" s="73">
        <f>IFERROR(IF(Master!F30="", "", Master!F30), "")</f>
        <v>46117</v>
      </c>
      <c r="H3" s="73">
        <f>IFERROR(IF(Master!G30="", "", Master!G30), "")</f>
        <v>46118</v>
      </c>
      <c r="I3" s="73">
        <f>IFERROR(IF(Master!H30="", "", Master!H30), "")</f>
        <v>46119</v>
      </c>
      <c r="J3" s="73">
        <f>IFERROR(IF(Master!I30="", "", Master!I30), "")</f>
        <v>46120</v>
      </c>
      <c r="K3" s="73">
        <f>IFERROR(IF(Master!J30="", "", Master!J30), "")</f>
        <v>46121</v>
      </c>
      <c r="L3" s="73">
        <f>IFERROR(IF(Master!K30="", "", Master!K30), "")</f>
        <v>46122</v>
      </c>
      <c r="M3" s="73">
        <f>IFERROR(IF(Master!L30="", "", Master!L30), "")</f>
        <v>46123</v>
      </c>
      <c r="N3" s="73">
        <f>IFERROR(IF(Master!M30="", "", Master!M30), "")</f>
        <v>46124</v>
      </c>
      <c r="O3" s="73">
        <f>IFERROR(IF(Master!N30="", "", Master!N30), "")</f>
        <v>46125</v>
      </c>
      <c r="P3" s="73">
        <f>IFERROR(IF(Master!O30="", "", Master!O30), "")</f>
        <v>46126</v>
      </c>
      <c r="Q3" s="73">
        <f>IFERROR(IF(Master!P30="", "", Master!P30), "")</f>
        <v>46127</v>
      </c>
      <c r="R3" s="73">
        <f>IFERROR(IF(Master!Q30="", "", Master!Q30), "")</f>
        <v>46128</v>
      </c>
      <c r="S3" s="73">
        <f>IFERROR(IF(Master!R30="", "", Master!R30), "")</f>
        <v>46129</v>
      </c>
      <c r="T3" s="73">
        <f>IFERROR(IF(Master!S30="", "", Master!S30), "")</f>
        <v>46130</v>
      </c>
      <c r="U3" s="73">
        <f>IFERROR(IF(Master!T30="", "", Master!T30), "")</f>
        <v>46131</v>
      </c>
      <c r="V3" s="73">
        <f>IFERROR(IF(Master!U30="", "", Master!U30), "")</f>
        <v>46132</v>
      </c>
      <c r="W3" s="73">
        <f>IFERROR(IF(Master!V30="", "", Master!V30), "")</f>
        <v>46133</v>
      </c>
      <c r="X3" s="73">
        <f>IFERROR(IF(Master!W30="", "", Master!W30), "")</f>
        <v>46134</v>
      </c>
      <c r="Y3" s="73">
        <f>IFERROR(IF(Master!X30="", "", Master!X30), "")</f>
        <v>46135</v>
      </c>
      <c r="Z3" s="73">
        <f>IFERROR(IF(Master!Y30="", "", Master!Y30), "")</f>
        <v>46136</v>
      </c>
      <c r="AA3" s="73">
        <f>IFERROR(IF(Master!Z30="", "", Master!Z30), "")</f>
        <v>46137</v>
      </c>
      <c r="AB3" s="73">
        <f>IFERROR(IF(Master!AA30="", "", Master!AA30), "")</f>
        <v>46138</v>
      </c>
      <c r="AC3" s="73">
        <f>IFERROR(IF(Master!AB30="", "", Master!AB30), "")</f>
        <v>46139</v>
      </c>
      <c r="AD3" s="73">
        <f>IFERROR(IF(Master!AC30="", "", Master!AC30), "")</f>
        <v>46140</v>
      </c>
      <c r="AE3" s="73">
        <f>IFERROR(IF(Master!AD30="", "", Master!AD30), "")</f>
        <v>46141</v>
      </c>
      <c r="AF3" s="73">
        <f>IFERROR(IF(Master!AE30="", "", Master!AE30), "")</f>
        <v>46142</v>
      </c>
    </row>
    <row r="4" spans="1:42">
      <c r="C4" s="13" t="str">
        <f t="shared" ref="C4:AF4" si="0">TEXT(C3,"ddd")</f>
        <v>Wed</v>
      </c>
      <c r="D4" s="13" t="str">
        <f t="shared" si="0"/>
        <v>Thu</v>
      </c>
      <c r="E4" s="13" t="str">
        <f t="shared" si="0"/>
        <v>Fri</v>
      </c>
      <c r="F4" s="13" t="str">
        <f t="shared" si="0"/>
        <v>Sat</v>
      </c>
      <c r="G4" s="13" t="str">
        <f t="shared" si="0"/>
        <v>Sun</v>
      </c>
      <c r="H4" s="13" t="str">
        <f t="shared" si="0"/>
        <v>Mon</v>
      </c>
      <c r="I4" s="13" t="str">
        <f t="shared" si="0"/>
        <v>Tue</v>
      </c>
      <c r="J4" s="13" t="str">
        <f t="shared" si="0"/>
        <v>Wed</v>
      </c>
      <c r="K4" s="13" t="str">
        <f t="shared" si="0"/>
        <v>Thu</v>
      </c>
      <c r="L4" s="13" t="str">
        <f t="shared" si="0"/>
        <v>Fri</v>
      </c>
      <c r="M4" s="13" t="str">
        <f t="shared" si="0"/>
        <v>Sat</v>
      </c>
      <c r="N4" s="13" t="str">
        <f t="shared" si="0"/>
        <v>Sun</v>
      </c>
      <c r="O4" s="13" t="str">
        <f t="shared" si="0"/>
        <v>Mon</v>
      </c>
      <c r="P4" s="13" t="str">
        <f t="shared" si="0"/>
        <v>Tue</v>
      </c>
      <c r="Q4" s="13" t="str">
        <f t="shared" si="0"/>
        <v>Wed</v>
      </c>
      <c r="R4" s="13" t="str">
        <f t="shared" si="0"/>
        <v>Thu</v>
      </c>
      <c r="S4" s="13" t="str">
        <f t="shared" si="0"/>
        <v>Fri</v>
      </c>
      <c r="T4" s="13" t="str">
        <f t="shared" si="0"/>
        <v>Sat</v>
      </c>
      <c r="U4" s="13" t="str">
        <f t="shared" si="0"/>
        <v>Sun</v>
      </c>
      <c r="V4" s="13" t="str">
        <f t="shared" si="0"/>
        <v>Mon</v>
      </c>
      <c r="W4" s="13" t="str">
        <f t="shared" si="0"/>
        <v>Tue</v>
      </c>
      <c r="X4" s="13" t="str">
        <f t="shared" si="0"/>
        <v>Wed</v>
      </c>
      <c r="Y4" s="13" t="str">
        <f t="shared" si="0"/>
        <v>Thu</v>
      </c>
      <c r="Z4" s="13" t="str">
        <f t="shared" si="0"/>
        <v>Fri</v>
      </c>
      <c r="AA4" s="13" t="str">
        <f t="shared" si="0"/>
        <v>Sat</v>
      </c>
      <c r="AB4" s="13" t="str">
        <f t="shared" si="0"/>
        <v>Sun</v>
      </c>
      <c r="AC4" s="13" t="str">
        <f t="shared" si="0"/>
        <v>Mon</v>
      </c>
      <c r="AD4" s="13" t="str">
        <f t="shared" si="0"/>
        <v>Tue</v>
      </c>
      <c r="AE4" s="13" t="str">
        <f t="shared" si="0"/>
        <v>Wed</v>
      </c>
      <c r="AF4" s="13" t="str">
        <f t="shared" si="0"/>
        <v>Thu</v>
      </c>
    </row>
    <row r="5" spans="1:42">
      <c r="C5" s="11" t="str">
        <f>IFERROR(IF(Master!B32="", "", Master!B32), "")</f>
        <v>Dicky</v>
      </c>
      <c r="D5" s="11" t="str">
        <f>IFERROR(IF(Master!C32="", "", Master!C32), "")</f>
        <v>Dicky</v>
      </c>
      <c r="E5" s="11" t="str">
        <f>IFERROR(IF(Master!D32="", "", Master!D32), "")</f>
        <v>Dicky</v>
      </c>
      <c r="F5" s="11" t="str">
        <f>IFERROR(IF(Master!E32="", "", Master!E32), "")</f>
        <v>Dicky</v>
      </c>
      <c r="G5" s="11" t="str">
        <f>IFERROR(IF(Master!F32="", "", Master!F32), "")</f>
        <v>Dicky</v>
      </c>
      <c r="H5" s="11" t="str">
        <f>IFERROR(IF(Master!G32="", "", Master!G32), "")</f>
        <v>Amy</v>
      </c>
      <c r="I5" s="11" t="str">
        <f>IFERROR(IF(Master!H32="", "", Master!H32), "")</f>
        <v>Amy</v>
      </c>
      <c r="J5" s="11" t="str">
        <f>IFERROR(IF(Master!I32="", "", Master!I32), "")</f>
        <v>Dicky</v>
      </c>
      <c r="K5" s="11" t="str">
        <f>IFERROR(IF(Master!J32="", "", Master!J32), "")</f>
        <v>Dicky</v>
      </c>
      <c r="L5" s="11" t="str">
        <f>IFERROR(IF(Master!K32="", "", Master!K32), "")</f>
        <v>Dicky</v>
      </c>
      <c r="M5" s="11" t="str">
        <f>IFERROR(IF(Master!L32="", "", Master!L32), "")</f>
        <v>Dicky</v>
      </c>
      <c r="N5" s="11" t="str">
        <f>IFERROR(IF(Master!M32="", "", Master!M32), "")</f>
        <v>Dicky</v>
      </c>
      <c r="O5" s="11" t="str">
        <f>IFERROR(IF(Master!N32="", "", Master!N32), "")</f>
        <v>Amy</v>
      </c>
      <c r="P5" s="11" t="str">
        <f>IFERROR(IF(Master!O32="", "", Master!O32), "")</f>
        <v>Amy</v>
      </c>
      <c r="Q5" s="11" t="str">
        <f>IFERROR(IF(Master!P32="", "", Master!P32), "")</f>
        <v>Amy</v>
      </c>
      <c r="R5" s="11" t="str">
        <f>IFERROR(IF(Master!Q32="", "", Master!Q32), "")</f>
        <v>Amy</v>
      </c>
      <c r="S5" s="11" t="str">
        <f>IFERROR(IF(Master!R32="", "", Master!R32), "")</f>
        <v>Amy</v>
      </c>
      <c r="T5" s="11" t="str">
        <f>IFERROR(IF(Master!S32="", "", Master!S32), "")</f>
        <v>Dicky</v>
      </c>
      <c r="U5" s="11" t="str">
        <f>IFERROR(IF(Master!T32="", "", Master!T32), "")</f>
        <v>Dicky</v>
      </c>
      <c r="V5" s="11" t="str">
        <f>IFERROR(IF(Master!U32="", "", Master!U32), "")</f>
        <v>Dicky</v>
      </c>
      <c r="W5" s="11" t="str">
        <f>IFERROR(IF(Master!V32="", "", Master!V32), "")</f>
        <v>Dicky</v>
      </c>
      <c r="X5" s="11" t="str">
        <f>IFERROR(IF(Master!W32="", "", Master!W32), "")</f>
        <v>Dicky</v>
      </c>
      <c r="Y5" s="11" t="str">
        <f>IFERROR(IF(Master!X32="", "", Master!X32), "")</f>
        <v>Dicky</v>
      </c>
      <c r="Z5" s="11" t="str">
        <f>IFERROR(IF(Master!Y32="", "", Master!Y32), "")</f>
        <v>Dicky</v>
      </c>
      <c r="AA5" s="11" t="str">
        <f>IFERROR(IF(Master!Z32="", "", Master!Z32), "")</f>
        <v>Amy</v>
      </c>
      <c r="AB5" s="11" t="str">
        <f>IFERROR(IF(Master!AA32="", "", Master!AA32), "")</f>
        <v>Amy</v>
      </c>
      <c r="AC5" s="11" t="str">
        <f>IFERROR(IF(Master!AB32="", "", Master!AB32), "")</f>
        <v>Amy</v>
      </c>
      <c r="AD5" s="11" t="str">
        <f>IFERROR(IF(Master!AC32="", "", Master!AC32), "")</f>
        <v>Amy</v>
      </c>
      <c r="AE5" s="11" t="str">
        <f>IFERROR(IF(Master!AD32="", "", Master!AD32), "")</f>
        <v>Amy</v>
      </c>
      <c r="AF5" s="11" t="str">
        <f>IFERROR(IF(Master!AE32="", "", Master!AE32), "")</f>
        <v>Amy</v>
      </c>
    </row>
    <row r="6" spans="1:42">
      <c r="C6" s="11" t="str">
        <f>IFERROR(IF(Master!B33="", "", Master!B33), "")</f>
        <v>A Lam</v>
      </c>
      <c r="D6" s="11" t="str">
        <f>IFERROR(IF(Master!C33="", "", Master!C33), "")</f>
        <v>A Lam</v>
      </c>
      <c r="E6" s="11" t="str">
        <f>IFERROR(IF(Master!D33="", "", Master!D33), "")</f>
        <v>A Lam</v>
      </c>
      <c r="F6" s="11" t="str">
        <f>IFERROR(IF(Master!E33="", "", Master!E33), "")</f>
        <v>A Lam</v>
      </c>
      <c r="G6" s="11" t="str">
        <f>IFERROR(IF(Master!F33="", "", Master!F33), "")</f>
        <v>A Lam</v>
      </c>
      <c r="H6" s="11" t="str">
        <f>IFERROR(IF(Master!G33="", "", Master!G33), "")</f>
        <v>A Lam</v>
      </c>
      <c r="I6" s="11" t="str">
        <f>IFERROR(IF(Master!H33="", "", Master!H33), "")</f>
        <v>A Lam</v>
      </c>
      <c r="J6" s="11" t="str">
        <f>IFERROR(IF(Master!I33="", "", Master!I33), "")</f>
        <v>A Lam</v>
      </c>
      <c r="K6" s="11" t="str">
        <f>IFERROR(IF(Master!J33="", "", Master!J33), "")</f>
        <v>A Lam</v>
      </c>
      <c r="L6" s="11" t="str">
        <f>IFERROR(IF(Master!K33="", "", Master!K33), "")</f>
        <v>A Lam</v>
      </c>
      <c r="M6" s="11" t="str">
        <f>IFERROR(IF(Master!L33="", "", Master!L33), "")</f>
        <v>Katrina</v>
      </c>
      <c r="N6" s="11" t="str">
        <f>IFERROR(IF(Master!M33="", "", Master!M33), "")</f>
        <v>Katrina</v>
      </c>
      <c r="O6" s="11" t="str">
        <f>IFERROR(IF(Master!N33="", "", Master!N33), "")</f>
        <v>Ka Po</v>
      </c>
      <c r="P6" s="11" t="str">
        <f>IFERROR(IF(Master!O33="", "", Master!O33), "")</f>
        <v>Ka Po</v>
      </c>
      <c r="Q6" s="11" t="str">
        <f>IFERROR(IF(Master!P33="", "", Master!P33), "")</f>
        <v>Ka Po</v>
      </c>
      <c r="R6" s="11" t="str">
        <f>IFERROR(IF(Master!Q33="", "", Master!Q33), "")</f>
        <v>Ka Po</v>
      </c>
      <c r="S6" s="11" t="str">
        <f>IFERROR(IF(Master!R33="", "", Master!R33), "")</f>
        <v>Ka Po</v>
      </c>
      <c r="T6" s="11" t="str">
        <f>IFERROR(IF(Master!S33="", "", Master!S33), "")</f>
        <v>Ka Po</v>
      </c>
      <c r="U6" s="11" t="str">
        <f>IFERROR(IF(Master!T33="", "", Master!T33), "")</f>
        <v>Ka Po</v>
      </c>
      <c r="V6" s="11" t="str">
        <f>IFERROR(IF(Master!U33="", "", Master!U33), "")</f>
        <v>A Lam</v>
      </c>
      <c r="W6" s="11" t="str">
        <f>IFERROR(IF(Master!V33="", "", Master!V33), "")</f>
        <v>A Lam</v>
      </c>
      <c r="X6" s="11" t="str">
        <f>IFERROR(IF(Master!W33="", "", Master!W33), "")</f>
        <v>A Lam</v>
      </c>
      <c r="Y6" s="11" t="str">
        <f>IFERROR(IF(Master!X33="", "", Master!X33), "")</f>
        <v>A Lam</v>
      </c>
      <c r="Z6" s="11" t="str">
        <f>IFERROR(IF(Master!Y33="", "", Master!Y33), "")</f>
        <v>A Lam</v>
      </c>
      <c r="AA6" s="11" t="str">
        <f>IFERROR(IF(Master!Z33="", "", Master!Z33), "")</f>
        <v>A Lam</v>
      </c>
      <c r="AB6" s="11" t="str">
        <f>IFERROR(IF(Master!AA33="", "", Master!AA33), "")</f>
        <v>A Lam</v>
      </c>
      <c r="AC6" s="11" t="str">
        <f>IFERROR(IF(Master!AB33="", "", Master!AB33), "")</f>
        <v>Ka Po</v>
      </c>
      <c r="AD6" s="11" t="str">
        <f>IFERROR(IF(Master!AC33="", "", Master!AC33), "")</f>
        <v>Ka Po</v>
      </c>
      <c r="AE6" s="11" t="str">
        <f>IFERROR(IF(Master!AD33="", "", Master!AD33), "")</f>
        <v>Ka Po</v>
      </c>
      <c r="AF6" s="11" t="str">
        <f>IFERROR(IF(Master!AE33="", "", Master!AE33), "")</f>
        <v>Ka Po</v>
      </c>
    </row>
    <row r="7" spans="1:42">
      <c r="C7" s="11" t="str">
        <f>IFERROR(IF(Master!B34="", "", Master!B34), "")</f>
        <v>Melody</v>
      </c>
      <c r="D7" s="11" t="str">
        <f>IFERROR(IF(Master!C34="", "", Master!C34), "")</f>
        <v>Melody</v>
      </c>
      <c r="E7" s="11" t="str">
        <f>IFERROR(IF(Master!D34="", "", Master!D34), "")</f>
        <v>Melody</v>
      </c>
      <c r="F7" s="11" t="str">
        <f>IFERROR(IF(Master!E34="", "", Master!E34), "")</f>
        <v>Melody</v>
      </c>
      <c r="G7" s="11" t="str">
        <f>IFERROR(IF(Master!F34="", "", Master!F34), "")</f>
        <v>Melody</v>
      </c>
      <c r="H7" s="11" t="str">
        <f>IFERROR(IF(Master!G34="", "", Master!G34), "")</f>
        <v>Melody</v>
      </c>
      <c r="I7" s="11" t="str">
        <f>IFERROR(IF(Master!H34="", "", Master!H34), "")</f>
        <v>Melody</v>
      </c>
      <c r="J7" s="11" t="str">
        <f>IFERROR(IF(Master!I34="", "", Master!I34), "")</f>
        <v>Amy</v>
      </c>
      <c r="K7" s="11" t="str">
        <f>IFERROR(IF(Master!J34="", "", Master!J34), "")</f>
        <v>Ka Po</v>
      </c>
      <c r="L7" s="11" t="str">
        <f>IFERROR(IF(Master!K34="", "", Master!K34), "")</f>
        <v>Amy</v>
      </c>
      <c r="M7" s="11" t="str">
        <f>IFERROR(IF(Master!L34="", "", Master!L34), "")</f>
        <v>Amy</v>
      </c>
      <c r="N7" s="11" t="str">
        <f>IFERROR(IF(Master!M34="", "", Master!M34), "")</f>
        <v>Amy</v>
      </c>
      <c r="O7" s="11" t="str">
        <f>IFERROR(IF(Master!N34="", "", Master!N34), "")</f>
        <v>Katrina</v>
      </c>
      <c r="P7" s="11" t="str">
        <f>IFERROR(IF(Master!O34="", "", Master!O34), "")</f>
        <v>Katrina</v>
      </c>
      <c r="Q7" s="11" t="str">
        <f>IFERROR(IF(Master!P34="", "", Master!P34), "")</f>
        <v>Katrina</v>
      </c>
      <c r="R7" s="11" t="str">
        <f>IFERROR(IF(Master!Q34="", "", Master!Q34), "")</f>
        <v>Katrina</v>
      </c>
      <c r="S7" s="11" t="str">
        <f>IFERROR(IF(Master!R34="", "", Master!R34), "")</f>
        <v>Katrina</v>
      </c>
      <c r="T7" s="11" t="str">
        <f>IFERROR(IF(Master!S34="", "", Master!S34), "")</f>
        <v>A Lam</v>
      </c>
      <c r="U7" s="11" t="str">
        <f>IFERROR(IF(Master!T34="", "", Master!T34), "")</f>
        <v>A Lam</v>
      </c>
      <c r="V7" s="11" t="str">
        <f>IFERROR(IF(Master!U34="", "", Master!U34), "")</f>
        <v>Melody</v>
      </c>
      <c r="W7" s="11" t="str">
        <f>IFERROR(IF(Master!V34="", "", Master!V34), "")</f>
        <v>Melody</v>
      </c>
      <c r="X7" s="11" t="str">
        <f>IFERROR(IF(Master!W34="", "", Master!W34), "")</f>
        <v>Melody</v>
      </c>
      <c r="Y7" s="11" t="str">
        <f>IFERROR(IF(Master!X34="", "", Master!X34), "")</f>
        <v>Melody</v>
      </c>
      <c r="Z7" s="11" t="str">
        <f>IFERROR(IF(Master!Y34="", "", Master!Y34), "")</f>
        <v>Melody</v>
      </c>
      <c r="AA7" s="11" t="str">
        <f>IFERROR(IF(Master!Z34="", "", Master!Z34), "")</f>
        <v>Melody</v>
      </c>
      <c r="AB7" s="11" t="str">
        <f>IFERROR(IF(Master!AA34="", "", Master!AA34), "")</f>
        <v>Melody</v>
      </c>
      <c r="AC7" s="11" t="str">
        <f>IFERROR(IF(Master!AB34="", "", Master!AB34), "")</f>
        <v>Melody</v>
      </c>
      <c r="AD7" s="11" t="str">
        <f>IFERROR(IF(Master!AC34="", "", Master!AC34), "")</f>
        <v>Melody</v>
      </c>
      <c r="AE7" s="11" t="str">
        <f>IFERROR(IF(Master!AD34="", "", Master!AD34), "")</f>
        <v>Melody</v>
      </c>
      <c r="AF7" s="11" t="str">
        <f>IFERROR(IF(Master!AE34="", "", Master!AE34), "")</f>
        <v>Melody</v>
      </c>
    </row>
    <row r="8" spans="1:42">
      <c r="C8" s="11" t="str">
        <f>IFERROR(IF(Master!B35="", "", Master!B35), "")</f>
        <v/>
      </c>
      <c r="D8" s="11" t="str">
        <f>IFERROR(IF(Master!C35="", "", Master!C35), "")</f>
        <v/>
      </c>
      <c r="E8" s="11" t="str">
        <f>IFERROR(IF(Master!D35="", "", Master!D35), "")</f>
        <v/>
      </c>
      <c r="F8" s="11" t="str">
        <f>IFERROR(IF(Master!E35="", "", Master!E35), "")</f>
        <v/>
      </c>
      <c r="G8" s="11" t="str">
        <f>IFERROR(IF(Master!F35="", "", Master!F35), "")</f>
        <v/>
      </c>
      <c r="H8" s="11" t="str">
        <f>IFERROR(IF(Master!G35="", "", Master!G35), "")</f>
        <v/>
      </c>
      <c r="I8" s="11" t="str">
        <f>IFERROR(IF(Master!H35="", "", Master!H35), "")</f>
        <v/>
      </c>
      <c r="J8" s="11" t="str">
        <f>IFERROR(IF(Master!I35="", "", Master!I35), "")</f>
        <v/>
      </c>
      <c r="K8" s="11" t="str">
        <f>IFERROR(IF(Master!J35="", "", Master!J35), "")</f>
        <v/>
      </c>
      <c r="L8" s="11" t="str">
        <f>IFERROR(IF(Master!K35="", "", Master!K35), "")</f>
        <v/>
      </c>
      <c r="M8" s="11" t="str">
        <f>IFERROR(IF(Master!L35="", "", Master!L35), "")</f>
        <v/>
      </c>
      <c r="N8" s="11" t="str">
        <f>IFERROR(IF(Master!M35="", "", Master!M35), "")</f>
        <v/>
      </c>
      <c r="O8" s="11" t="str">
        <f>IFERROR(IF(Master!N35="", "", Master!N35), "")</f>
        <v/>
      </c>
      <c r="P8" s="11" t="str">
        <f>IFERROR(IF(Master!O35="", "", Master!O35), "")</f>
        <v/>
      </c>
      <c r="Q8" s="11" t="str">
        <f>IFERROR(IF(Master!P35="", "", Master!P35), "")</f>
        <v/>
      </c>
      <c r="R8" s="11" t="str">
        <f>IFERROR(IF(Master!Q35="", "", Master!Q35), "")</f>
        <v/>
      </c>
      <c r="S8" s="11" t="str">
        <f>IFERROR(IF(Master!R35="", "", Master!R35), "")</f>
        <v/>
      </c>
      <c r="T8" s="11" t="str">
        <f>IFERROR(IF(Master!S35="", "", Master!S35), "")</f>
        <v/>
      </c>
      <c r="U8" s="11" t="str">
        <f>IFERROR(IF(Master!T35="", "", Master!T35), "")</f>
        <v/>
      </c>
      <c r="V8" s="11" t="str">
        <f>IFERROR(IF(Master!U35="", "", Master!U35), "")</f>
        <v/>
      </c>
      <c r="W8" s="11" t="str">
        <f>IFERROR(IF(Master!V35="", "", Master!V35), "")</f>
        <v/>
      </c>
      <c r="X8" s="11" t="str">
        <f>IFERROR(IF(Master!W35="", "", Master!W35), "")</f>
        <v/>
      </c>
      <c r="Y8" s="11" t="str">
        <f>IFERROR(IF(Master!X35="", "", Master!X35), "")</f>
        <v/>
      </c>
      <c r="Z8" s="11" t="str">
        <f>IFERROR(IF(Master!Y35="", "", Master!Y35), "")</f>
        <v/>
      </c>
      <c r="AA8" s="11" t="str">
        <f>IFERROR(IF(Master!Z35="", "", Master!Z35), "")</f>
        <v/>
      </c>
      <c r="AB8" s="11" t="str">
        <f>IFERROR(IF(Master!AA35="", "", Master!AA35), "")</f>
        <v/>
      </c>
      <c r="AC8" s="11" t="str">
        <f>IFERROR(IF(Master!AB35="", "", Master!AB35), "")</f>
        <v/>
      </c>
      <c r="AD8" s="11" t="str">
        <f>IFERROR(IF(Master!AC35="", "", Master!AC35), "")</f>
        <v/>
      </c>
      <c r="AE8" s="11" t="str">
        <f>IFERROR(IF(Master!AD35="", "", Master!AD35), "")</f>
        <v/>
      </c>
      <c r="AF8" s="11" t="str">
        <f>IFERROR(IF(Master!AE35="", "", Master!AE35), "")</f>
        <v/>
      </c>
    </row>
    <row r="9" spans="1:42">
      <c r="C9" s="11" t="str">
        <f>IFERROR(IF(Master!B36="", "", Master!B36), "")</f>
        <v>IVY</v>
      </c>
      <c r="D9" s="11" t="str">
        <f>IFERROR(IF(Master!C36="", "", Master!C36), "")</f>
        <v>IVY</v>
      </c>
      <c r="E9" s="11" t="str">
        <f>IFERROR(IF(Master!D36="", "", Master!D36), "")</f>
        <v>IVY</v>
      </c>
      <c r="F9" s="11" t="str">
        <f>IFERROR(IF(Master!E36="", "", Master!E36), "")</f>
        <v>IVY</v>
      </c>
      <c r="G9" s="11" t="str">
        <f>IFERROR(IF(Master!F36="", "", Master!F36), "")</f>
        <v>IVY</v>
      </c>
      <c r="H9" s="11" t="str">
        <f>IFERROR(IF(Master!G36="", "", Master!G36), "")</f>
        <v>YOKO</v>
      </c>
      <c r="I9" s="11" t="str">
        <f>IFERROR(IF(Master!H36="", "", Master!H36), "")</f>
        <v>YOKO</v>
      </c>
      <c r="J9" s="11" t="str">
        <f>IFERROR(IF(Master!I36="", "", Master!I36), "")</f>
        <v>YOKO</v>
      </c>
      <c r="K9" s="11" t="str">
        <f>IFERROR(IF(Master!J36="", "", Master!J36), "")</f>
        <v>YOKO</v>
      </c>
      <c r="L9" s="11" t="str">
        <f>IFERROR(IF(Master!K36="", "", Master!K36), "")</f>
        <v>YOKO</v>
      </c>
      <c r="M9" s="11" t="str">
        <f>IFERROR(IF(Master!L36="", "", Master!L36), "")</f>
        <v>YOKO</v>
      </c>
      <c r="N9" s="11" t="str">
        <f>IFERROR(IF(Master!M36="", "", Master!M36), "")</f>
        <v/>
      </c>
      <c r="O9" s="11" t="str">
        <f>IFERROR(IF(Master!N36="", "", Master!N36), "")</f>
        <v/>
      </c>
      <c r="P9" s="11" t="str">
        <f>IFERROR(IF(Master!O36="", "", Master!O36), "")</f>
        <v/>
      </c>
      <c r="Q9" s="11" t="str">
        <f>IFERROR(IF(Master!P36="", "", Master!P36), "")</f>
        <v/>
      </c>
      <c r="R9" s="11" t="str">
        <f>IFERROR(IF(Master!Q36="", "", Master!Q36), "")</f>
        <v/>
      </c>
      <c r="S9" s="11" t="str">
        <f>IFERROR(IF(Master!R36="", "", Master!R36), "")</f>
        <v/>
      </c>
      <c r="T9" s="11" t="str">
        <f>IFERROR(IF(Master!S36="", "", Master!S36), "")</f>
        <v/>
      </c>
      <c r="U9" s="11" t="str">
        <f>IFERROR(IF(Master!T36="", "", Master!T36), "")</f>
        <v/>
      </c>
      <c r="V9" s="11" t="str">
        <f>IFERROR(IF(Master!U36="", "", Master!U36), "")</f>
        <v/>
      </c>
      <c r="W9" s="11" t="str">
        <f>IFERROR(IF(Master!V36="", "", Master!V36), "")</f>
        <v/>
      </c>
      <c r="X9" s="11" t="str">
        <f>IFERROR(IF(Master!W36="", "", Master!W36), "")</f>
        <v/>
      </c>
      <c r="Y9" s="11" t="str">
        <f>IFERROR(IF(Master!X36="", "", Master!X36), "")</f>
        <v/>
      </c>
      <c r="Z9" s="11" t="str">
        <f>IFERROR(IF(Master!Y36="", "", Master!Y36), "")</f>
        <v/>
      </c>
      <c r="AA9" s="11" t="str">
        <f>IFERROR(IF(Master!Z36="", "", Master!Z36), "")</f>
        <v/>
      </c>
      <c r="AB9" s="11" t="str">
        <f>IFERROR(IF(Master!AA36="", "", Master!AA36), "")</f>
        <v/>
      </c>
      <c r="AC9" s="11" t="str">
        <f>IFERROR(IF(Master!AB36="", "", Master!AB36), "")</f>
        <v/>
      </c>
      <c r="AD9" s="11" t="str">
        <f>IFERROR(IF(Master!AC36="", "", Master!AC36), "")</f>
        <v/>
      </c>
      <c r="AE9" s="11" t="str">
        <f>IFERROR(IF(Master!AD36="", "", Master!AD36), "")</f>
        <v/>
      </c>
      <c r="AF9" s="11" t="str">
        <f>IFERROR(IF(Master!AE36="", "", Master!AE36), "")</f>
        <v/>
      </c>
      <c r="AG9" s="1"/>
    </row>
    <row r="10" spans="1:42">
      <c r="C10" s="11" t="str">
        <f>IFERROR(IF(Master!B37="", "", Master!B37), "")</f>
        <v/>
      </c>
      <c r="D10" s="11" t="str">
        <f>IFERROR(IF(Master!C37="", "", Master!C37), "")</f>
        <v/>
      </c>
      <c r="E10" s="11" t="str">
        <f>IFERROR(IF(Master!D37="", "", Master!D37), "")</f>
        <v/>
      </c>
      <c r="F10" s="11" t="str">
        <f>IFERROR(IF(Master!E37="", "", Master!E37), "")</f>
        <v/>
      </c>
      <c r="G10" s="11" t="str">
        <f>IFERROR(IF(Master!F37="", "", Master!F37), "")</f>
        <v/>
      </c>
      <c r="H10" s="11" t="str">
        <f>IFERROR(IF(Master!G37="", "", Master!G37), "")</f>
        <v/>
      </c>
      <c r="I10" s="11" t="str">
        <f>IFERROR(IF(Master!H37="", "", Master!H37), "")</f>
        <v/>
      </c>
      <c r="J10" s="11"/>
      <c r="K10" s="11"/>
      <c r="L10" s="11"/>
      <c r="M10" s="11" t="str">
        <f>IFERROR(IF(Master!L37="", "", Master!L37), "")</f>
        <v>Li Mui Ying</v>
      </c>
      <c r="N10" s="11" t="s">
        <v>71</v>
      </c>
      <c r="O10" s="11" t="s">
        <v>71</v>
      </c>
      <c r="P10" s="11" t="str">
        <f>IFERROR(IF(Master!O37="", "", Master!O37), "")</f>
        <v/>
      </c>
      <c r="Q10" s="11" t="str">
        <f>IFERROR(IF(Master!P37="", "", Master!P37), "")</f>
        <v/>
      </c>
      <c r="R10" s="11" t="str">
        <f>IFERROR(IF(Master!Q37="", "", Master!Q37), "")</f>
        <v/>
      </c>
      <c r="S10" s="11" t="str">
        <f>IFERROR(IF(Master!R37="", "", Master!R37), "")</f>
        <v/>
      </c>
      <c r="T10" s="11" t="str">
        <f>IFERROR(IF(Master!S37="", "", Master!S37), "")</f>
        <v/>
      </c>
      <c r="U10" s="11" t="str">
        <f>IFERROR(IF(Master!T37="", "", Master!T37), "")</f>
        <v/>
      </c>
      <c r="V10" s="11" t="str">
        <f>IFERROR(IF(Master!U37="", "", Master!U37), "")</f>
        <v/>
      </c>
      <c r="W10" s="11" t="str">
        <f>IFERROR(IF(Master!V37="", "", Master!V37), "")</f>
        <v/>
      </c>
      <c r="X10" s="11" t="str">
        <f>IFERROR(IF(Master!W37="", "", Master!W37), "")</f>
        <v/>
      </c>
      <c r="Y10" s="11" t="str">
        <f>IFERROR(IF(Master!X37="", "", Master!X37), "")</f>
        <v/>
      </c>
      <c r="Z10" s="11" t="str">
        <f>IFERROR(IF(Master!Y37="", "", Master!Y37), "")</f>
        <v/>
      </c>
      <c r="AA10" s="11" t="str">
        <f>IFERROR(IF(Master!Z37="", "", Master!Z37), "")</f>
        <v/>
      </c>
      <c r="AB10" s="11" t="str">
        <f>IFERROR(IF(Master!AA37="", "", Master!AA37), "")</f>
        <v/>
      </c>
      <c r="AC10" s="11" t="str">
        <f>IFERROR(IF(Master!AB37="", "", Master!AB37), "")</f>
        <v/>
      </c>
      <c r="AD10" s="11" t="str">
        <f>IFERROR(IF(Master!AC37="", "", Master!AC37), "")</f>
        <v/>
      </c>
      <c r="AE10" s="11" t="str">
        <f>IFERROR(IF(Master!AD37="", "", Master!AD37), "")</f>
        <v/>
      </c>
      <c r="AF10" s="11" t="str">
        <f>IFERROR(IF(Master!AE37="", "", Master!AE37), "")</f>
        <v/>
      </c>
    </row>
    <row r="13" spans="1:42" ht="15.75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F13" si="1">IF(WEEKDAY(D$16,2)=6, INT((D$16-DATE(2026,1,1))/7)+1, 0)</f>
        <v>0</v>
      </c>
      <c r="E13" s="12">
        <f t="shared" si="1"/>
        <v>0</v>
      </c>
      <c r="F13" s="12">
        <f t="shared" si="1"/>
        <v>14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15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16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17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56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F16" si="2">C3</f>
        <v>46113</v>
      </c>
      <c r="D16" s="72">
        <f t="shared" si="2"/>
        <v>46114</v>
      </c>
      <c r="E16" s="72">
        <f t="shared" si="2"/>
        <v>46115</v>
      </c>
      <c r="F16" s="72">
        <f t="shared" si="2"/>
        <v>46116</v>
      </c>
      <c r="G16" s="72">
        <f t="shared" si="2"/>
        <v>46117</v>
      </c>
      <c r="H16" s="72">
        <f t="shared" si="2"/>
        <v>46118</v>
      </c>
      <c r="I16" s="72">
        <f t="shared" si="2"/>
        <v>46119</v>
      </c>
      <c r="J16" s="72">
        <f t="shared" si="2"/>
        <v>46120</v>
      </c>
      <c r="K16" s="72">
        <f t="shared" si="2"/>
        <v>46121</v>
      </c>
      <c r="L16" s="72">
        <f t="shared" si="2"/>
        <v>46122</v>
      </c>
      <c r="M16" s="72">
        <f t="shared" si="2"/>
        <v>46123</v>
      </c>
      <c r="N16" s="72">
        <f t="shared" si="2"/>
        <v>46124</v>
      </c>
      <c r="O16" s="72">
        <f t="shared" si="2"/>
        <v>46125</v>
      </c>
      <c r="P16" s="72">
        <f t="shared" si="2"/>
        <v>46126</v>
      </c>
      <c r="Q16" s="72">
        <f t="shared" si="2"/>
        <v>46127</v>
      </c>
      <c r="R16" s="72">
        <f t="shared" si="2"/>
        <v>46128</v>
      </c>
      <c r="S16" s="72">
        <f t="shared" si="2"/>
        <v>46129</v>
      </c>
      <c r="T16" s="72">
        <f t="shared" si="2"/>
        <v>46130</v>
      </c>
      <c r="U16" s="72">
        <f t="shared" si="2"/>
        <v>46131</v>
      </c>
      <c r="V16" s="72">
        <f t="shared" si="2"/>
        <v>46132</v>
      </c>
      <c r="W16" s="72">
        <f t="shared" si="2"/>
        <v>46133</v>
      </c>
      <c r="X16" s="72">
        <f t="shared" si="2"/>
        <v>46134</v>
      </c>
      <c r="Y16" s="72">
        <f t="shared" si="2"/>
        <v>46135</v>
      </c>
      <c r="Z16" s="72">
        <f t="shared" si="2"/>
        <v>46136</v>
      </c>
      <c r="AA16" s="72">
        <f t="shared" si="2"/>
        <v>46137</v>
      </c>
      <c r="AB16" s="72">
        <f t="shared" si="2"/>
        <v>46138</v>
      </c>
      <c r="AC16" s="72">
        <f t="shared" si="2"/>
        <v>46139</v>
      </c>
      <c r="AD16" s="72">
        <f t="shared" si="2"/>
        <v>46140</v>
      </c>
      <c r="AE16" s="72">
        <f t="shared" si="2"/>
        <v>46141</v>
      </c>
      <c r="AF16" s="72">
        <f t="shared" si="2"/>
        <v>46142</v>
      </c>
      <c r="AG16" s="69"/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Wed</v>
      </c>
      <c r="D17" s="39" t="str">
        <f t="shared" ref="D17:AF17" si="3">TEXT(D16,"ddd")</f>
        <v>Thu</v>
      </c>
      <c r="E17" s="39" t="str">
        <f t="shared" si="3"/>
        <v>Fri</v>
      </c>
      <c r="F17" s="39" t="str">
        <f t="shared" si="3"/>
        <v>Sat</v>
      </c>
      <c r="G17" s="39" t="str">
        <f t="shared" si="3"/>
        <v>Sun</v>
      </c>
      <c r="H17" s="39" t="str">
        <f t="shared" si="3"/>
        <v>Mon</v>
      </c>
      <c r="I17" s="39" t="str">
        <f t="shared" si="3"/>
        <v>Tue</v>
      </c>
      <c r="J17" s="39" t="str">
        <f t="shared" si="3"/>
        <v>Wed</v>
      </c>
      <c r="K17" s="39" t="str">
        <f t="shared" si="3"/>
        <v>Thu</v>
      </c>
      <c r="L17" s="39" t="str">
        <f t="shared" si="3"/>
        <v>Fri</v>
      </c>
      <c r="M17" s="39" t="str">
        <f t="shared" si="3"/>
        <v>Sat</v>
      </c>
      <c r="N17" s="39" t="str">
        <f t="shared" si="3"/>
        <v>Sun</v>
      </c>
      <c r="O17" s="39" t="str">
        <f t="shared" si="3"/>
        <v>Mon</v>
      </c>
      <c r="P17" s="39" t="str">
        <f t="shared" si="3"/>
        <v>Tue</v>
      </c>
      <c r="Q17" s="39" t="str">
        <f t="shared" si="3"/>
        <v>Wed</v>
      </c>
      <c r="R17" s="39" t="str">
        <f t="shared" si="3"/>
        <v>Thu</v>
      </c>
      <c r="S17" s="39" t="str">
        <f t="shared" si="3"/>
        <v>Fri</v>
      </c>
      <c r="T17" s="39" t="str">
        <f t="shared" si="3"/>
        <v>Sat</v>
      </c>
      <c r="U17" s="39" t="str">
        <f t="shared" si="3"/>
        <v>Sun</v>
      </c>
      <c r="V17" s="39" t="str">
        <f t="shared" si="3"/>
        <v>Mon</v>
      </c>
      <c r="W17" s="39" t="str">
        <f t="shared" si="3"/>
        <v>Tue</v>
      </c>
      <c r="X17" s="39" t="str">
        <f t="shared" si="3"/>
        <v>Wed</v>
      </c>
      <c r="Y17" s="39" t="str">
        <f t="shared" si="3"/>
        <v>Thu</v>
      </c>
      <c r="Z17" s="39" t="str">
        <f t="shared" si="3"/>
        <v>Fri</v>
      </c>
      <c r="AA17" s="39" t="str">
        <f t="shared" si="3"/>
        <v>Sat</v>
      </c>
      <c r="AB17" s="39" t="str">
        <f t="shared" si="3"/>
        <v>Sun</v>
      </c>
      <c r="AC17" s="39" t="str">
        <f t="shared" si="3"/>
        <v>Mon</v>
      </c>
      <c r="AD17" s="39" t="str">
        <f t="shared" si="3"/>
        <v>Tue</v>
      </c>
      <c r="AE17" s="50" t="str">
        <f t="shared" si="3"/>
        <v>Wed</v>
      </c>
      <c r="AF17" s="55" t="str">
        <f t="shared" si="3"/>
        <v>Thu</v>
      </c>
      <c r="AG17" s="25"/>
      <c r="AK17" s="85"/>
      <c r="AL17" s="85"/>
      <c r="AM17" s="85"/>
      <c r="AN17" s="83"/>
      <c r="AO17" s="83"/>
      <c r="AP17" s="83"/>
    </row>
    <row r="18" spans="1:42" ht="24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PH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PH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DO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PH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PH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HD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DO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HD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DO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HD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DO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53"/>
      <c r="AK18" s="11" t="s">
        <v>118</v>
      </c>
      <c r="AL18" s="65">
        <f t="shared" ref="AL18:AL26" si="4">SUMPRODUCT((C18:AG18="D")*8) + SUMPRODUCT((C18:AG18="E")*8) + SUMPRODUCT((C18:AG18="HD")*4)</f>
        <v>164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164</v>
      </c>
      <c r="AO18" s="67">
        <f>AN18-$AN$18</f>
        <v>0</v>
      </c>
      <c r="AP18" s="67">
        <f>AO18+Mar!AP18</f>
        <v>0</v>
      </c>
    </row>
    <row r="19" spans="1:42" ht="24" customHeight="1" thickBot="1">
      <c r="A19" s="23" t="s">
        <v>53</v>
      </c>
      <c r="B19" s="22" t="s">
        <v>140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AL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AL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PH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PH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DO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PH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PH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DO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DO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DO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DO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DO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53"/>
      <c r="AK19" s="11" t="s">
        <v>21</v>
      </c>
      <c r="AL19" s="65">
        <f t="shared" si="4"/>
        <v>144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16</v>
      </c>
      <c r="AN19" s="68">
        <f t="shared" ref="AN19:AN31" si="5">AL19+AM19</f>
        <v>160</v>
      </c>
      <c r="AO19" s="67">
        <f t="shared" ref="AO19:AO20" si="6">AN19-$AN$18</f>
        <v>-4</v>
      </c>
      <c r="AP19" s="67">
        <f>AO19+Mar!AP19</f>
        <v>-8</v>
      </c>
    </row>
    <row r="20" spans="1:42" ht="24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PH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PH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DO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PH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PH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AL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AL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AL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HDAL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DO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HD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DO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HD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DO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53"/>
      <c r="AK20" s="11" t="s">
        <v>119</v>
      </c>
      <c r="AL20" s="65">
        <f t="shared" si="4"/>
        <v>136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28</v>
      </c>
      <c r="AN20" s="68">
        <f t="shared" si="5"/>
        <v>164</v>
      </c>
      <c r="AO20" s="67">
        <f t="shared" si="6"/>
        <v>0</v>
      </c>
      <c r="AP20" s="67">
        <f>AO20+Mar!AP20</f>
        <v>0</v>
      </c>
    </row>
    <row r="21" spans="1:42" ht="24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E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E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PH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PH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DO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PH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PH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E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E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DO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DO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DO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DO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</v>
      </c>
      <c r="AG21" s="53"/>
      <c r="AK21" s="11" t="s">
        <v>24</v>
      </c>
      <c r="AL21" s="65">
        <f t="shared" si="4"/>
        <v>168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168</v>
      </c>
      <c r="AO21" s="67">
        <f>AN21-$AN$18+4</f>
        <v>8</v>
      </c>
      <c r="AP21" s="67">
        <f>AO21+Mar!AP21</f>
        <v>-4</v>
      </c>
    </row>
    <row r="22" spans="1:42" ht="24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D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PH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PH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DO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PH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PH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E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DO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E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DO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DO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DO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E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E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E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E</v>
      </c>
      <c r="AG22" s="53"/>
      <c r="AK22" s="11" t="s">
        <v>22</v>
      </c>
      <c r="AL22" s="65">
        <f t="shared" si="4"/>
        <v>168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168</v>
      </c>
      <c r="AO22" s="67">
        <f>AN22-$AN$18-4</f>
        <v>0</v>
      </c>
      <c r="AP22" s="67">
        <f>AO22+Mar!AP22</f>
        <v>-4</v>
      </c>
    </row>
    <row r="23" spans="1:42" ht="24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E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PH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PH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DO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PH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PH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E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E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E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DO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DO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DO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E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DO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</v>
      </c>
      <c r="AG23" s="53"/>
      <c r="AK23" s="11" t="s">
        <v>23</v>
      </c>
      <c r="AL23" s="65">
        <f t="shared" si="4"/>
        <v>168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168</v>
      </c>
      <c r="AO23" s="67">
        <f>AN23-$AN$18+4</f>
        <v>8</v>
      </c>
      <c r="AP23" s="67">
        <f>AO23+Mar!AP23</f>
        <v>4</v>
      </c>
    </row>
    <row r="24" spans="1:42" ht="24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PH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PH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DO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PH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PH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E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DO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DO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E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E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E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DO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DO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DO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53"/>
      <c r="AK24" s="11" t="s">
        <v>25</v>
      </c>
      <c r="AL24" s="65">
        <f t="shared" si="4"/>
        <v>160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160</v>
      </c>
      <c r="AO24" s="67">
        <f>AN24-$AN$18-4</f>
        <v>-8</v>
      </c>
      <c r="AP24" s="67">
        <f>AO24+Mar!AP24</f>
        <v>4</v>
      </c>
    </row>
    <row r="25" spans="1:42" ht="24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E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E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PH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PH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DO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PH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PH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DO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DO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DO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DO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E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E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E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E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E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DO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E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E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E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E</v>
      </c>
      <c r="AG25" s="53"/>
      <c r="AK25" s="11" t="s">
        <v>27</v>
      </c>
      <c r="AL25" s="65">
        <f t="shared" si="4"/>
        <v>160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160</v>
      </c>
      <c r="AO25" s="67">
        <f>AN25-$AN$18+4</f>
        <v>0</v>
      </c>
      <c r="AP25" s="67">
        <f>AO25+Mar!AP25</f>
        <v>4</v>
      </c>
    </row>
    <row r="26" spans="1:42" ht="24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PH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PH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DO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PH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PH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DO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E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E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E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DO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DO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DO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DO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53"/>
      <c r="AK26" s="11" t="s">
        <v>26</v>
      </c>
      <c r="AL26" s="65">
        <f t="shared" si="4"/>
        <v>160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160</v>
      </c>
      <c r="AO26" s="67">
        <f>AN26-$AN$18-4</f>
        <v>-8</v>
      </c>
      <c r="AP26" s="67">
        <f>AO26+Mar!AP26</f>
        <v>-4</v>
      </c>
    </row>
    <row r="27" spans="1:42" ht="24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B6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PH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PH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DO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PH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PH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HD2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DO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DO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DO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HD2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DO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53"/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AO27+Mar!AP27</f>
        <v>0</v>
      </c>
    </row>
    <row r="28" spans="1:42" ht="24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D1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PH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PH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DO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PH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PH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DO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DO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HD2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DO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DO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DO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53"/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AO28+Mar!AP28</f>
        <v>0</v>
      </c>
    </row>
    <row r="29" spans="1:42" ht="24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53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AO29+Mar!AP29</f>
        <v>0</v>
      </c>
    </row>
    <row r="30" spans="1:42" ht="24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53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AO30+Mar!AP30</f>
        <v>0</v>
      </c>
    </row>
    <row r="31" spans="1:42" ht="24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PH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PH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DO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PH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PH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HDAL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DO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AL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HD1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DO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HD1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DO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53"/>
      <c r="AK31" s="11" t="s">
        <v>136</v>
      </c>
      <c r="AL31" s="11">
        <f>SUMPRODUCT((C31:AG31="D")*8) + SUMPRODUCT((C31:AG31="E")*8) + SUMPRODUCT((C31:AG31="HD1")*4)</f>
        <v>152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12</v>
      </c>
      <c r="AN31" s="71">
        <f t="shared" si="5"/>
        <v>164</v>
      </c>
      <c r="AO31" s="67">
        <f t="shared" ref="AO31" si="7">AN31-$AN$18</f>
        <v>0</v>
      </c>
      <c r="AP31" s="67">
        <f>AO31+Mar!AP31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  <c r="AM32" s="70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dataConsolidate/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F3">
    <cfRule type="expression" dxfId="172" priority="45">
      <formula>B$28="sun"</formula>
    </cfRule>
  </conditionalFormatting>
  <conditionalFormatting sqref="C3:AF10">
    <cfRule type="expression" dxfId="171" priority="48">
      <formula>C$4="Sun"</formula>
    </cfRule>
    <cfRule type="expression" dxfId="168" priority="51">
      <formula>WEEKDAY(C3,2)=7</formula>
    </cfRule>
  </conditionalFormatting>
  <conditionalFormatting sqref="C5:AF10">
    <cfRule type="expression" dxfId="167" priority="47">
      <formula>B$28="sun"</formula>
    </cfRule>
  </conditionalFormatting>
  <conditionalFormatting sqref="C18:AF31">
    <cfRule type="expression" dxfId="165" priority="1">
      <formula>C18="HDAL"</formula>
    </cfRule>
  </conditionalFormatting>
  <conditionalFormatting sqref="C17:AG17">
    <cfRule type="expression" dxfId="163" priority="33">
      <formula>C$17="sun"</formula>
    </cfRule>
    <cfRule type="expression" dxfId="162" priority="34">
      <formula>C$17="sat"</formula>
    </cfRule>
  </conditionalFormatting>
  <conditionalFormatting sqref="C18:AG31">
    <cfRule type="expression" dxfId="161" priority="2">
      <formula>C18="PH"</formula>
    </cfRule>
    <cfRule type="expression" dxfId="160" priority="3">
      <formula>C18="AL"</formula>
    </cfRule>
    <cfRule type="expression" dxfId="158" priority="5">
      <formula>C18="DO"</formula>
    </cfRule>
  </conditionalFormatting>
  <conditionalFormatting sqref="AG9">
    <cfRule type="expression" dxfId="157" priority="27">
      <formula>AG$4="Sun"</formula>
    </cfRule>
    <cfRule type="expression" dxfId="154" priority="30">
      <formula>WEEKDAY(AG9,2)=7</formula>
    </cfRule>
  </conditionalFormatting>
  <conditionalFormatting sqref="AO18:AP31">
    <cfRule type="expression" dxfId="153" priority="11">
      <formula>AO18&gt;0</formula>
    </cfRule>
    <cfRule type="expression" dxfId="152" priority="12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9" id="{AE274774-9522-4871-BFCD-A268AD345A22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50" id="{5398B508-538F-4FF6-A836-3FAF6F38F664}">
            <xm:f>COUNTIF(PH!$A:$A, C3)&gt;0</xm:f>
            <x14:dxf>
              <font>
                <color rgb="FFFF0000"/>
              </font>
            </x14:dxf>
          </x14:cfRule>
          <xm:sqref>C3:AF10</xm:sqref>
        </x14:conditionalFormatting>
        <x14:conditionalFormatting xmlns:xm="http://schemas.microsoft.com/office/excel/2006/main">
          <x14:cfRule type="expression" priority="19" id="{0E81A6D8-E06D-452A-89D3-8B1612DD3538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C16:AF16</xm:sqref>
        </x14:conditionalFormatting>
        <x14:conditionalFormatting xmlns:xm="http://schemas.microsoft.com/office/excel/2006/main">
          <x14:cfRule type="expression" priority="20" id="{E2F41067-A343-47B9-A5AF-1B2345F6302D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B98B2F6F-26F0-4B02-9BF6-29211EF4A195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  <x14:conditionalFormatting xmlns:xm="http://schemas.microsoft.com/office/excel/2006/main">
          <x14:cfRule type="expression" priority="28" id="{3B15813A-6285-4EEE-A4BF-FA1281207F4B}">
            <xm:f>AND(COUNTIF(PH!$A:$A, AG9)&gt;0, WEEKDAY(AG9,2)=6)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9" id="{F20747FA-0D4E-4874-B596-83DFC020AE93}">
            <xm:f>COUNTIF(PH!$A:$A, AG9)&gt;0</xm:f>
            <x14:dxf>
              <font>
                <color rgb="FFFF0000"/>
              </font>
            </x14:dxf>
          </x14:cfRule>
          <xm:sqref>AG9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4C3D8E-7BBC-4CF7-8596-5FD8EF189BB8}">
          <x14:formula1>
            <xm:f>'On call stat'!$T$3:$T$21</xm:f>
          </x14:formula1>
          <xm:sqref>C3:AF3 C5:AF10</xm:sqref>
        </x14:dataValidation>
        <x14:dataValidation type="list" allowBlank="1" showInputMessage="1" showErrorMessage="1" xr:uid="{61B699BC-A1B8-4FA1-B9C8-5BCA40F687DA}">
          <x14:formula1>
            <xm:f>'On call stat'!$T$3:$T$14</xm:f>
          </x14:formula1>
          <xm:sqref>AG9:AG10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380E-FCED-4056-B52F-6FA056480DF3}">
  <sheetPr codeName="Sheet6"/>
  <dimension ref="A1:AP48"/>
  <sheetViews>
    <sheetView topLeftCell="E12" zoomScale="70" zoomScaleNormal="70" workbookViewId="0">
      <selection activeCell="C18" sqref="C18:AG31"/>
    </sheetView>
  </sheetViews>
  <sheetFormatPr defaultRowHeight="15"/>
  <cols>
    <col min="2" max="2" width="31.42578125" customWidth="1"/>
    <col min="36" max="36" width="9.140625" style="42"/>
    <col min="40" max="40" width="12.8554687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IFERROR(IF(Master!B39="", "", Master!B39), "")</f>
        <v>46143</v>
      </c>
      <c r="D3" s="9">
        <f>IFERROR(IF(Master!C39="", "", Master!C39), "")</f>
        <v>46144</v>
      </c>
      <c r="E3" s="9">
        <f>IFERROR(IF(Master!D39="", "", Master!D39), "")</f>
        <v>46145</v>
      </c>
      <c r="F3" s="9">
        <f>IFERROR(IF(Master!E39="", "", Master!E39), "")</f>
        <v>46146</v>
      </c>
      <c r="G3" s="9">
        <f>IFERROR(IF(Master!F39="", "", Master!F39), "")</f>
        <v>46147</v>
      </c>
      <c r="H3" s="9">
        <f>IFERROR(IF(Master!G39="", "", Master!G39), "")</f>
        <v>46148</v>
      </c>
      <c r="I3" s="9">
        <f>IFERROR(IF(Master!H39="", "", Master!H39), "")</f>
        <v>46149</v>
      </c>
      <c r="J3" s="9">
        <f>IFERROR(IF(Master!I39="", "", Master!I39), "")</f>
        <v>46150</v>
      </c>
      <c r="K3" s="9">
        <f>IFERROR(IF(Master!J39="", "", Master!J39), "")</f>
        <v>46151</v>
      </c>
      <c r="L3" s="9">
        <f>IFERROR(IF(Master!K39="", "", Master!K39), "")</f>
        <v>46152</v>
      </c>
      <c r="M3" s="9">
        <f>IFERROR(IF(Master!L39="", "", Master!L39), "")</f>
        <v>46153</v>
      </c>
      <c r="N3" s="9">
        <f>IFERROR(IF(Master!M39="", "", Master!M39), "")</f>
        <v>46154</v>
      </c>
      <c r="O3" s="9">
        <f>IFERROR(IF(Master!N39="", "", Master!N39), "")</f>
        <v>46155</v>
      </c>
      <c r="P3" s="9">
        <f>IFERROR(IF(Master!O39="", "", Master!O39), "")</f>
        <v>46156</v>
      </c>
      <c r="Q3" s="9">
        <f>IFERROR(IF(Master!P39="", "", Master!P39), "")</f>
        <v>46157</v>
      </c>
      <c r="R3" s="9">
        <f>IFERROR(IF(Master!Q39="", "", Master!Q39), "")</f>
        <v>46158</v>
      </c>
      <c r="S3" s="9">
        <f>IFERROR(IF(Master!R39="", "", Master!R39), "")</f>
        <v>46159</v>
      </c>
      <c r="T3" s="9">
        <f>IFERROR(IF(Master!S39="", "", Master!S39), "")</f>
        <v>46160</v>
      </c>
      <c r="U3" s="9">
        <f>IFERROR(IF(Master!T39="", "", Master!T39), "")</f>
        <v>46161</v>
      </c>
      <c r="V3" s="9">
        <f>IFERROR(IF(Master!U39="", "", Master!U39), "")</f>
        <v>46162</v>
      </c>
      <c r="W3" s="9">
        <f>IFERROR(IF(Master!V39="", "", Master!V39), "")</f>
        <v>46163</v>
      </c>
      <c r="X3" s="9">
        <f>IFERROR(IF(Master!W39="", "", Master!W39), "")</f>
        <v>46164</v>
      </c>
      <c r="Y3" s="9">
        <f>IFERROR(IF(Master!X39="", "", Master!X39), "")</f>
        <v>46165</v>
      </c>
      <c r="Z3" s="9">
        <f>IFERROR(IF(Master!Y39="", "", Master!Y39), "")</f>
        <v>46166</v>
      </c>
      <c r="AA3" s="9">
        <f>IFERROR(IF(Master!Z39="", "", Master!Z39), "")</f>
        <v>46167</v>
      </c>
      <c r="AB3" s="9">
        <f>IFERROR(IF(Master!AA39="", "", Master!AA39), "")</f>
        <v>46168</v>
      </c>
      <c r="AC3" s="9">
        <f>IFERROR(IF(Master!AB39="", "", Master!AB39), "")</f>
        <v>46169</v>
      </c>
      <c r="AD3" s="9">
        <f>IFERROR(IF(Master!AC39="", "", Master!AC39), "")</f>
        <v>46170</v>
      </c>
      <c r="AE3" s="9">
        <f>IFERROR(IF(Master!AD39="", "", Master!AD39), "")</f>
        <v>46171</v>
      </c>
      <c r="AF3" s="9">
        <f>IFERROR(IF(Master!AE39="", "", Master!AE39), "")</f>
        <v>46172</v>
      </c>
      <c r="AG3" s="9">
        <f>IFERROR(IF(Master!AF39="", "", Master!AF39), "")</f>
        <v>46173</v>
      </c>
    </row>
    <row r="4" spans="1:42">
      <c r="C4" s="13" t="str">
        <f t="shared" ref="C4:AG4" si="0">TEXT(C3,"ddd")</f>
        <v>Fri</v>
      </c>
      <c r="D4" s="13" t="str">
        <f t="shared" si="0"/>
        <v>Sat</v>
      </c>
      <c r="E4" s="13" t="str">
        <f t="shared" si="0"/>
        <v>Sun</v>
      </c>
      <c r="F4" s="13" t="str">
        <f t="shared" si="0"/>
        <v>Mon</v>
      </c>
      <c r="G4" s="13" t="str">
        <f t="shared" si="0"/>
        <v>Tue</v>
      </c>
      <c r="H4" s="13" t="str">
        <f t="shared" si="0"/>
        <v>Wed</v>
      </c>
      <c r="I4" s="13" t="str">
        <f t="shared" si="0"/>
        <v>Thu</v>
      </c>
      <c r="J4" s="13" t="str">
        <f t="shared" si="0"/>
        <v>Fri</v>
      </c>
      <c r="K4" s="13" t="str">
        <f t="shared" si="0"/>
        <v>Sat</v>
      </c>
      <c r="L4" s="13" t="str">
        <f t="shared" si="0"/>
        <v>Sun</v>
      </c>
      <c r="M4" s="13" t="str">
        <f t="shared" si="0"/>
        <v>Mon</v>
      </c>
      <c r="N4" s="13" t="str">
        <f t="shared" si="0"/>
        <v>Tue</v>
      </c>
      <c r="O4" s="13" t="str">
        <f t="shared" si="0"/>
        <v>Wed</v>
      </c>
      <c r="P4" s="13" t="str">
        <f t="shared" si="0"/>
        <v>Thu</v>
      </c>
      <c r="Q4" s="13" t="str">
        <f t="shared" si="0"/>
        <v>Fri</v>
      </c>
      <c r="R4" s="13" t="str">
        <f t="shared" si="0"/>
        <v>Sat</v>
      </c>
      <c r="S4" s="13" t="str">
        <f t="shared" si="0"/>
        <v>Sun</v>
      </c>
      <c r="T4" s="13" t="str">
        <f t="shared" si="0"/>
        <v>Mon</v>
      </c>
      <c r="U4" s="13" t="str">
        <f t="shared" si="0"/>
        <v>Tue</v>
      </c>
      <c r="V4" s="13" t="str">
        <f t="shared" si="0"/>
        <v>Wed</v>
      </c>
      <c r="W4" s="13" t="str">
        <f t="shared" si="0"/>
        <v>Thu</v>
      </c>
      <c r="X4" s="13" t="str">
        <f t="shared" si="0"/>
        <v>Fri</v>
      </c>
      <c r="Y4" s="13" t="str">
        <f t="shared" si="0"/>
        <v>Sat</v>
      </c>
      <c r="Z4" s="13" t="str">
        <f t="shared" si="0"/>
        <v>Sun</v>
      </c>
      <c r="AA4" s="13" t="str">
        <f t="shared" si="0"/>
        <v>Mon</v>
      </c>
      <c r="AB4" s="13" t="str">
        <f t="shared" si="0"/>
        <v>Tue</v>
      </c>
      <c r="AC4" s="13" t="str">
        <f t="shared" si="0"/>
        <v>Wed</v>
      </c>
      <c r="AD4" s="13" t="str">
        <f t="shared" si="0"/>
        <v>Thu</v>
      </c>
      <c r="AE4" s="13" t="str">
        <f t="shared" si="0"/>
        <v>Fri</v>
      </c>
      <c r="AF4" s="13" t="str">
        <f t="shared" si="0"/>
        <v>Sat</v>
      </c>
      <c r="AG4" s="13" t="str">
        <f t="shared" si="0"/>
        <v>Sun</v>
      </c>
    </row>
    <row r="5" spans="1:42">
      <c r="C5" s="9" t="str">
        <f>IFERROR(IF(Master!B41="", "", Master!B41), "")</f>
        <v>Amy</v>
      </c>
      <c r="D5" s="9" t="str">
        <f>IFERROR(IF(Master!C41="", "", Master!C41), "")</f>
        <v>Amy</v>
      </c>
      <c r="E5" s="9" t="str">
        <f>IFERROR(IF(Master!D41="", "", Master!D41), "")</f>
        <v>Amy</v>
      </c>
      <c r="F5" s="9" t="str">
        <f>IFERROR(IF(Master!E41="", "", Master!E41), "")</f>
        <v>Dicky</v>
      </c>
      <c r="G5" s="9" t="str">
        <f>IFERROR(IF(Master!F41="", "", Master!F41), "")</f>
        <v>Dicky</v>
      </c>
      <c r="H5" s="9" t="str">
        <f>IFERROR(IF(Master!G41="", "", Master!G41), "")</f>
        <v>Dicky</v>
      </c>
      <c r="I5" s="9" t="str">
        <f>IFERROR(IF(Master!H41="", "", Master!H41), "")</f>
        <v>Dicky</v>
      </c>
      <c r="J5" s="9" t="str">
        <f>IFERROR(IF(Master!I41="", "", Master!I41), "")</f>
        <v>Amy</v>
      </c>
      <c r="K5" s="9" t="str">
        <f>IFERROR(IF(Master!J41="", "", Master!J41), "")</f>
        <v>Amy</v>
      </c>
      <c r="L5" s="9" t="str">
        <f>IFERROR(IF(Master!K41="", "", Master!K41), "")</f>
        <v>Amy</v>
      </c>
      <c r="M5" s="9" t="str">
        <f>IFERROR(IF(Master!L41="", "", Master!L41), "")</f>
        <v>Amy</v>
      </c>
      <c r="N5" s="9" t="str">
        <f>IFERROR(IF(Master!M41="", "", Master!M41), "")</f>
        <v>Amy</v>
      </c>
      <c r="O5" s="9" t="str">
        <f>IFERROR(IF(Master!N41="", "", Master!N41), "")</f>
        <v>Amy</v>
      </c>
      <c r="P5" s="9" t="str">
        <f>IFERROR(IF(Master!O41="", "", Master!O41), "")</f>
        <v>Amy</v>
      </c>
      <c r="Q5" s="9" t="str">
        <f>IFERROR(IF(Master!P41="", "", Master!P41), "")</f>
        <v>Amy</v>
      </c>
      <c r="R5" s="9" t="str">
        <f>IFERROR(IF(Master!Q41="", "", Master!Q41), "")</f>
        <v>Amy</v>
      </c>
      <c r="S5" s="9" t="str">
        <f>IFERROR(IF(Master!R41="", "", Master!R41), "")</f>
        <v>Amy</v>
      </c>
      <c r="T5" s="9" t="str">
        <f>IFERROR(IF(Master!S41="", "", Master!S41), "")</f>
        <v>Dicky</v>
      </c>
      <c r="U5" s="9" t="str">
        <f>IFERROR(IF(Master!T41="", "", Master!T41), "")</f>
        <v>Dicky</v>
      </c>
      <c r="V5" s="9" t="str">
        <f>IFERROR(IF(Master!U41="", "", Master!U41), "")</f>
        <v>Dicky</v>
      </c>
      <c r="W5" s="9" t="str">
        <f>IFERROR(IF(Master!V41="", "", Master!V41), "")</f>
        <v>Dicky</v>
      </c>
      <c r="X5" s="9" t="str">
        <f>IFERROR(IF(Master!W41="", "", Master!W41), "")</f>
        <v>Dicky</v>
      </c>
      <c r="Y5" s="9" t="str">
        <f>IFERROR(IF(Master!X41="", "", Master!X41), "")</f>
        <v>Dicky</v>
      </c>
      <c r="Z5" s="9" t="str">
        <f>IFERROR(IF(Master!Y41="", "", Master!Y41), "")</f>
        <v>Dicky</v>
      </c>
      <c r="AA5" s="9" t="str">
        <f>IFERROR(IF(Master!Z41="", "", Master!Z41), "")</f>
        <v>Dicky</v>
      </c>
      <c r="AB5" s="9" t="str">
        <f>IFERROR(IF(Master!AA41="", "", Master!AA41), "")</f>
        <v>Dicky</v>
      </c>
      <c r="AC5" s="9" t="str">
        <f>IFERROR(IF(Master!AB41="", "", Master!AB41), "")</f>
        <v>Dicky</v>
      </c>
      <c r="AD5" s="9" t="str">
        <f>IFERROR(IF(Master!AC41="", "", Master!AC41), "")</f>
        <v>Dicky</v>
      </c>
      <c r="AE5" s="9" t="str">
        <f>IFERROR(IF(Master!AD41="", "", Master!AD41), "")</f>
        <v>Dicky</v>
      </c>
      <c r="AF5" s="9" t="str">
        <f>IFERROR(IF(Master!AE41="", "", Master!AE41), "")</f>
        <v>Dicky</v>
      </c>
      <c r="AG5" s="9" t="str">
        <f>IFERROR(IF(Master!AF41="", "", Master!AF41), "")</f>
        <v>Dicky</v>
      </c>
    </row>
    <row r="6" spans="1:42">
      <c r="C6" s="9" t="str">
        <f>IFERROR(IF(Master!B42="", "", Master!B42), "")</f>
        <v>Ka Po</v>
      </c>
      <c r="D6" s="9" t="str">
        <f>IFERROR(IF(Master!C42="", "", Master!C42), "")</f>
        <v>Ka Po</v>
      </c>
      <c r="E6" s="9" t="str">
        <f>IFERROR(IF(Master!D42="", "", Master!D42), "")</f>
        <v>Ka Po</v>
      </c>
      <c r="F6" s="9" t="str">
        <f>IFERROR(IF(Master!E42="", "", Master!E42), "")</f>
        <v>A Lam</v>
      </c>
      <c r="G6" s="9" t="str">
        <f>IFERROR(IF(Master!F42="", "", Master!F42), "")</f>
        <v>A Lam</v>
      </c>
      <c r="H6" s="9" t="str">
        <f>IFERROR(IF(Master!G42="", "", Master!G42), "")</f>
        <v>A Lam</v>
      </c>
      <c r="I6" s="9" t="str">
        <f>IFERROR(IF(Master!H42="", "", Master!H42), "")</f>
        <v>A Lam</v>
      </c>
      <c r="J6" s="9" t="str">
        <f>IFERROR(IF(Master!I42="", "", Master!I42), "")</f>
        <v>A Lam</v>
      </c>
      <c r="K6" s="9" t="str">
        <f>IFERROR(IF(Master!J42="", "", Master!J42), "")</f>
        <v>A Lam</v>
      </c>
      <c r="L6" s="9" t="str">
        <f>IFERROR(IF(Master!K42="", "", Master!K42), "")</f>
        <v>A Lam</v>
      </c>
      <c r="M6" s="9" t="str">
        <f>IFERROR(IF(Master!L42="", "", Master!L42), "")</f>
        <v>Ka Po</v>
      </c>
      <c r="N6" s="9" t="str">
        <f>IFERROR(IF(Master!M42="", "", Master!M42), "")</f>
        <v>Ka Po</v>
      </c>
      <c r="O6" s="9" t="str">
        <f>IFERROR(IF(Master!N42="", "", Master!N42), "")</f>
        <v>Ka Po</v>
      </c>
      <c r="P6" s="9" t="str">
        <f>IFERROR(IF(Master!O42="", "", Master!O42), "")</f>
        <v>Ka Po</v>
      </c>
      <c r="Q6" s="9" t="str">
        <f>IFERROR(IF(Master!P42="", "", Master!P42), "")</f>
        <v>Ka Po</v>
      </c>
      <c r="R6" s="9" t="str">
        <f>IFERROR(IF(Master!Q42="", "", Master!Q42), "")</f>
        <v>Ka Po</v>
      </c>
      <c r="S6" s="9" t="str">
        <f>IFERROR(IF(Master!R42="", "", Master!R42), "")</f>
        <v>Ka Po</v>
      </c>
      <c r="T6" s="9" t="str">
        <f>IFERROR(IF(Master!S42="", "", Master!S42), "")</f>
        <v>A Lam</v>
      </c>
      <c r="U6" s="9" t="str">
        <f>IFERROR(IF(Master!T42="", "", Master!T42), "")</f>
        <v>A Lam</v>
      </c>
      <c r="V6" s="9" t="str">
        <f>IFERROR(IF(Master!U42="", "", Master!U42), "")</f>
        <v>A Lam</v>
      </c>
      <c r="W6" s="9" t="str">
        <f>IFERROR(IF(Master!V42="", "", Master!V42), "")</f>
        <v>A Lam</v>
      </c>
      <c r="X6" s="9" t="str">
        <f>IFERROR(IF(Master!W42="", "", Master!W42), "")</f>
        <v>Melody</v>
      </c>
      <c r="Y6" s="9" t="str">
        <f>IFERROR(IF(Master!X42="", "", Master!X42), "")</f>
        <v>Melody</v>
      </c>
      <c r="Z6" s="9" t="str">
        <f>IFERROR(IF(Master!Y42="", "", Master!Y42), "")</f>
        <v>Melody</v>
      </c>
      <c r="AA6" s="9" t="str">
        <f>IFERROR(IF(Master!Z42="", "", Master!Z42), "")</f>
        <v>Melody</v>
      </c>
      <c r="AB6" s="9" t="str">
        <f>IFERROR(IF(Master!AA42="", "", Master!AA42), "")</f>
        <v>Melody</v>
      </c>
      <c r="AC6" s="9" t="str">
        <f>IFERROR(IF(Master!AB42="", "", Master!AB42), "")</f>
        <v>Ka Po</v>
      </c>
      <c r="AD6" s="9" t="str">
        <f>IFERROR(IF(Master!AC42="", "", Master!AC42), "")</f>
        <v>Ka Po</v>
      </c>
      <c r="AE6" s="9" t="str">
        <f>IFERROR(IF(Master!AD42="", "", Master!AD42), "")</f>
        <v>Ka Po</v>
      </c>
      <c r="AF6" s="9" t="str">
        <f>IFERROR(IF(Master!AE42="", "", Master!AE42), "")</f>
        <v>Ka Po</v>
      </c>
      <c r="AG6" s="9" t="str">
        <f>IFERROR(IF(Master!AF42="", "", Master!AF42), "")</f>
        <v>Ka Po</v>
      </c>
    </row>
    <row r="7" spans="1:42">
      <c r="C7" s="9" t="str">
        <f>IFERROR(IF(Master!B43="", "", Master!B43), "")</f>
        <v>A Lam</v>
      </c>
      <c r="D7" s="9" t="str">
        <f>IFERROR(IF(Master!C43="", "", Master!C43), "")</f>
        <v>A Lam</v>
      </c>
      <c r="E7" s="9" t="str">
        <f>IFERROR(IF(Master!D43="", "", Master!D43), "")</f>
        <v>A Lam</v>
      </c>
      <c r="F7" s="9" t="str">
        <f>IFERROR(IF(Master!E43="", "", Master!E43), "")</f>
        <v>Katrina</v>
      </c>
      <c r="G7" s="9" t="str">
        <f>IFERROR(IF(Master!F43="", "", Master!F43), "")</f>
        <v>Katrina</v>
      </c>
      <c r="H7" s="9" t="str">
        <f>IFERROR(IF(Master!G43="", "", Master!G43), "")</f>
        <v>Katrina</v>
      </c>
      <c r="I7" s="9" t="str">
        <f>IFERROR(IF(Master!H43="", "", Master!H43), "")</f>
        <v>Katrina</v>
      </c>
      <c r="J7" s="9" t="str">
        <f>IFERROR(IF(Master!I43="", "", Master!I43), "")</f>
        <v>Katrina</v>
      </c>
      <c r="K7" s="9" t="str">
        <f>IFERROR(IF(Master!J43="", "", Master!J43), "")</f>
        <v>Katrina</v>
      </c>
      <c r="L7" s="9" t="str">
        <f>IFERROR(IF(Master!K43="", "", Master!K43), "")</f>
        <v>Katrina</v>
      </c>
      <c r="M7" s="9" t="str">
        <f>IFERROR(IF(Master!L43="", "", Master!L43), "")</f>
        <v>Melody</v>
      </c>
      <c r="N7" s="9" t="str">
        <f>IFERROR(IF(Master!M43="", "", Master!M43), "")</f>
        <v>Melody</v>
      </c>
      <c r="O7" s="9" t="str">
        <f>IFERROR(IF(Master!N43="", "", Master!N43), "")</f>
        <v>Melody</v>
      </c>
      <c r="P7" s="9" t="str">
        <f>IFERROR(IF(Master!O43="", "", Master!O43), "")</f>
        <v>Melody</v>
      </c>
      <c r="Q7" s="9" t="str">
        <f>IFERROR(IF(Master!P43="", "", Master!P43), "")</f>
        <v>Melody</v>
      </c>
      <c r="R7" s="9" t="str">
        <f>IFERROR(IF(Master!Q43="", "", Master!Q43), "")</f>
        <v>Melody</v>
      </c>
      <c r="S7" s="9" t="str">
        <f>IFERROR(IF(Master!R43="", "", Master!R43), "")</f>
        <v>Melody</v>
      </c>
      <c r="T7" s="9" t="str">
        <f>IFERROR(IF(Master!S43="", "", Master!S43), "")</f>
        <v>Melody</v>
      </c>
      <c r="U7" s="9" t="str">
        <f>IFERROR(IF(Master!T43="", "", Master!T43), "")</f>
        <v>Katrina</v>
      </c>
      <c r="V7" s="9" t="str">
        <f>IFERROR(IF(Master!U43="", "", Master!U43), "")</f>
        <v>Katrina</v>
      </c>
      <c r="W7" s="9" t="str">
        <f>IFERROR(IF(Master!V43="", "", Master!V43), "")</f>
        <v>Katrina</v>
      </c>
      <c r="X7" s="9" t="str">
        <f>IFERROR(IF(Master!W43="", "", Master!W43), "")</f>
        <v>Katrina</v>
      </c>
      <c r="Y7" s="9" t="str">
        <f>IFERROR(IF(Master!X43="", "", Master!X43), "")</f>
        <v>Katrina</v>
      </c>
      <c r="Z7" s="9" t="str">
        <f>IFERROR(IF(Master!Y43="", "", Master!Y43), "")</f>
        <v>Katrina</v>
      </c>
      <c r="AA7" s="9" t="str">
        <f>IFERROR(IF(Master!Z43="", "", Master!Z43), "")</f>
        <v>Katrina</v>
      </c>
      <c r="AB7" s="9" t="str">
        <f>IFERROR(IF(Master!AA43="", "", Master!AA43), "")</f>
        <v>Katrina</v>
      </c>
      <c r="AC7" s="9" t="str">
        <f>IFERROR(IF(Master!AB43="", "", Master!AB43), "")</f>
        <v>Katrina</v>
      </c>
      <c r="AD7" s="9" t="str">
        <f>IFERROR(IF(Master!AC43="", "", Master!AC43), "")</f>
        <v>Katrina</v>
      </c>
      <c r="AE7" s="9" t="str">
        <f>IFERROR(IF(Master!AD43="", "", Master!AD43), "")</f>
        <v>Katrina</v>
      </c>
      <c r="AF7" s="9" t="str">
        <f>IFERROR(IF(Master!AE43="", "", Master!AE43), "")</f>
        <v>Katrina</v>
      </c>
      <c r="AG7" s="9" t="str">
        <f>IFERROR(IF(Master!AF43="", "", Master!AF43), "")</f>
        <v>Katrina</v>
      </c>
    </row>
    <row r="8" spans="1:42">
      <c r="C8" s="9" t="str">
        <f>IFERROR(IF(Master!B44="", "", Master!B44), "")</f>
        <v/>
      </c>
      <c r="D8" s="9" t="str">
        <f>IFERROR(IF(Master!C44="", "", Master!C44), "")</f>
        <v/>
      </c>
      <c r="E8" s="9" t="str">
        <f>IFERROR(IF(Master!D44="", "", Master!D44), "")</f>
        <v/>
      </c>
      <c r="F8" s="9" t="str">
        <f>IFERROR(IF(Master!E44="", "", Master!E44), "")</f>
        <v/>
      </c>
      <c r="G8" s="9" t="str">
        <f>IFERROR(IF(Master!F44="", "", Master!F44), "")</f>
        <v/>
      </c>
      <c r="H8" s="9" t="str">
        <f>IFERROR(IF(Master!G44="", "", Master!G44), "")</f>
        <v/>
      </c>
      <c r="I8" s="9" t="str">
        <f>IFERROR(IF(Master!H44="", "", Master!H44), "")</f>
        <v/>
      </c>
      <c r="J8" s="9" t="str">
        <f>IFERROR(IF(Master!I44="", "", Master!I44), "")</f>
        <v/>
      </c>
      <c r="K8" s="9" t="str">
        <f>IFERROR(IF(Master!J44="", "", Master!J44), "")</f>
        <v/>
      </c>
      <c r="L8" s="9" t="str">
        <f>IFERROR(IF(Master!K44="", "", Master!K44), "")</f>
        <v/>
      </c>
      <c r="M8" s="9" t="str">
        <f>IFERROR(IF(Master!L44="", "", Master!L44), "")</f>
        <v/>
      </c>
      <c r="N8" s="9" t="str">
        <f>IFERROR(IF(Master!M44="", "", Master!M44), "")</f>
        <v/>
      </c>
      <c r="O8" s="9" t="str">
        <f>IFERROR(IF(Master!N44="", "", Master!N44), "")</f>
        <v/>
      </c>
      <c r="P8" s="9" t="str">
        <f>IFERROR(IF(Master!O44="", "", Master!O44), "")</f>
        <v/>
      </c>
      <c r="Q8" s="9" t="str">
        <f>IFERROR(IF(Master!P44="", "", Master!P44), "")</f>
        <v/>
      </c>
      <c r="R8" s="9" t="str">
        <f>IFERROR(IF(Master!Q44="", "", Master!Q44), "")</f>
        <v/>
      </c>
      <c r="S8" s="9" t="str">
        <f>IFERROR(IF(Master!R44="", "", Master!R44), "")</f>
        <v/>
      </c>
      <c r="T8" s="9" t="str">
        <f>IFERROR(IF(Master!S44="", "", Master!S44), "")</f>
        <v/>
      </c>
      <c r="U8" s="9" t="str">
        <f>IFERROR(IF(Master!T44="", "", Master!T44), "")</f>
        <v/>
      </c>
      <c r="V8" s="9" t="str">
        <f>IFERROR(IF(Master!U44="", "", Master!U44), "")</f>
        <v/>
      </c>
      <c r="W8" s="9" t="str">
        <f>IFERROR(IF(Master!V44="", "", Master!V44), "")</f>
        <v/>
      </c>
      <c r="X8" s="9" t="str">
        <f>IFERROR(IF(Master!W44="", "", Master!W44), "")</f>
        <v/>
      </c>
      <c r="Y8" s="9" t="str">
        <f>IFERROR(IF(Master!X44="", "", Master!X44), "")</f>
        <v/>
      </c>
      <c r="Z8" s="9" t="str">
        <f>IFERROR(IF(Master!Y44="", "", Master!Y44), "")</f>
        <v/>
      </c>
      <c r="AA8" s="9" t="str">
        <f>IFERROR(IF(Master!Z44="", "", Master!Z44), "")</f>
        <v/>
      </c>
      <c r="AB8" s="9" t="str">
        <f>IFERROR(IF(Master!AA44="", "", Master!AA44), "")</f>
        <v/>
      </c>
      <c r="AC8" s="9" t="str">
        <f>IFERROR(IF(Master!AB44="", "", Master!AB44), "")</f>
        <v/>
      </c>
      <c r="AD8" s="9" t="str">
        <f>IFERROR(IF(Master!AC44="", "", Master!AC44), "")</f>
        <v/>
      </c>
      <c r="AE8" s="9" t="str">
        <f>IFERROR(IF(Master!AD44="", "", Master!AD44), "")</f>
        <v/>
      </c>
      <c r="AF8" s="9" t="str">
        <f>IFERROR(IF(Master!AE44="", "", Master!AE44), "")</f>
        <v/>
      </c>
      <c r="AG8" s="9" t="str">
        <f>IFERROR(IF(Master!AF44="", "", Master!AF44), "")</f>
        <v/>
      </c>
    </row>
    <row r="9" spans="1:42">
      <c r="C9" s="9" t="str">
        <f>IFERROR(IF(Master!B45="", "", Master!B45), "")</f>
        <v/>
      </c>
      <c r="D9" s="9" t="str">
        <f>IFERROR(IF(Master!C45="", "", Master!C45), "")</f>
        <v/>
      </c>
      <c r="E9" s="9" t="str">
        <f>IFERROR(IF(Master!D45="", "", Master!D45), "")</f>
        <v/>
      </c>
      <c r="F9" s="9" t="str">
        <f>IFERROR(IF(Master!E45="", "", Master!E45), "")</f>
        <v/>
      </c>
      <c r="G9" s="9" t="str">
        <f>IFERROR(IF(Master!F45="", "", Master!F45), "")</f>
        <v/>
      </c>
      <c r="H9" s="9" t="str">
        <f>IFERROR(IF(Master!G45="", "", Master!G45), "")</f>
        <v/>
      </c>
      <c r="I9" s="9" t="str">
        <f>IFERROR(IF(Master!H45="", "", Master!H45), "")</f>
        <v/>
      </c>
      <c r="J9" s="9" t="str">
        <f>IFERROR(IF(Master!I45="", "", Master!I45), "")</f>
        <v/>
      </c>
      <c r="K9" s="9" t="str">
        <f>IFERROR(IF(Master!J45="", "", Master!J45), "")</f>
        <v/>
      </c>
      <c r="L9" s="9" t="str">
        <f>IFERROR(IF(Master!K45="", "", Master!K45), "")</f>
        <v/>
      </c>
      <c r="M9" s="9" t="str">
        <f>IFERROR(IF(Master!L45="", "", Master!L45), "")</f>
        <v/>
      </c>
      <c r="N9" s="9" t="str">
        <f>IFERROR(IF(Master!M45="", "", Master!M45), "")</f>
        <v/>
      </c>
      <c r="O9" s="9" t="str">
        <f>IFERROR(IF(Master!N45="", "", Master!N45), "")</f>
        <v/>
      </c>
      <c r="P9" s="9" t="str">
        <f>IFERROR(IF(Master!O45="", "", Master!O45), "")</f>
        <v/>
      </c>
      <c r="Q9" s="9" t="str">
        <f>IFERROR(IF(Master!P45="", "", Master!P45), "")</f>
        <v/>
      </c>
      <c r="R9" s="9" t="str">
        <f>IFERROR(IF(Master!Q45="", "", Master!Q45), "")</f>
        <v/>
      </c>
      <c r="S9" s="9" t="str">
        <f>IFERROR(IF(Master!R45="", "", Master!R45), "")</f>
        <v/>
      </c>
      <c r="T9" s="9" t="str">
        <f>IFERROR(IF(Master!S45="", "", Master!S45), "")</f>
        <v/>
      </c>
      <c r="U9" s="9" t="str">
        <f>IFERROR(IF(Master!T45="", "", Master!T45), "")</f>
        <v/>
      </c>
      <c r="V9" s="9" t="str">
        <f>IFERROR(IF(Master!U45="", "", Master!U45), "")</f>
        <v/>
      </c>
      <c r="W9" s="9" t="str">
        <f>IFERROR(IF(Master!V45="", "", Master!V45), "")</f>
        <v/>
      </c>
      <c r="X9" s="9" t="str">
        <f>IFERROR(IF(Master!W45="", "", Master!W45), "")</f>
        <v>Amy</v>
      </c>
      <c r="Y9" s="9" t="str">
        <f>IFERROR(IF(Master!X45="", "", Master!X45), "")</f>
        <v>Amy</v>
      </c>
      <c r="Z9" s="9" t="str">
        <f>IFERROR(IF(Master!Y45="", "", Master!Y45), "")</f>
        <v>Amy</v>
      </c>
      <c r="AA9" s="9" t="str">
        <f>IFERROR(IF(Master!Z45="", "", Master!Z45), "")</f>
        <v>Amy</v>
      </c>
      <c r="AB9" s="9" t="str">
        <f>IFERROR(IF(Master!AA45="", "", Master!AA45), "")</f>
        <v>Amy</v>
      </c>
      <c r="AC9" s="9" t="str">
        <f>IFERROR(IF(Master!AB45="", "", Master!AB45), "")</f>
        <v>Amy</v>
      </c>
      <c r="AD9" s="9" t="str">
        <f>IFERROR(IF(Master!AC45="", "", Master!AC45), "")</f>
        <v>Amy</v>
      </c>
      <c r="AE9" s="9" t="str">
        <f>IFERROR(IF(Master!AD45="", "", Master!AD45), "")</f>
        <v>Amy</v>
      </c>
      <c r="AF9" s="9" t="str">
        <f>IFERROR(IF(Master!AE45="", "", Master!AE45), "")</f>
        <v>Amy</v>
      </c>
      <c r="AG9" s="9" t="str">
        <f>IFERROR(IF(Master!AF45="", "", Master!AF45), "")</f>
        <v>Amy</v>
      </c>
    </row>
    <row r="10" spans="1:42">
      <c r="C10" s="9" t="str">
        <f>IFERROR(IF(Master!B46="", "", Master!B46), "")</f>
        <v/>
      </c>
      <c r="D10" s="9" t="str">
        <f>IFERROR(IF(Master!C46="", "", Master!C46), "")</f>
        <v/>
      </c>
      <c r="E10" s="9" t="str">
        <f>IFERROR(IF(Master!D46="", "", Master!D46), "")</f>
        <v/>
      </c>
      <c r="F10" s="9" t="str">
        <f>IFERROR(IF(Master!E46="", "", Master!E46), "")</f>
        <v/>
      </c>
      <c r="G10" s="9" t="str">
        <f>IFERROR(IF(Master!F46="", "", Master!F46), "")</f>
        <v/>
      </c>
      <c r="H10" s="9" t="str">
        <f>IFERROR(IF(Master!G46="", "", Master!G46), "")</f>
        <v/>
      </c>
      <c r="I10" s="9" t="str">
        <f>IFERROR(IF(Master!H46="", "", Master!H46), "")</f>
        <v/>
      </c>
      <c r="J10" s="9" t="str">
        <f>IFERROR(IF(Master!I46="", "", Master!I46), "")</f>
        <v/>
      </c>
      <c r="K10" s="9" t="str">
        <f>IFERROR(IF(Master!J46="", "", Master!J46), "")</f>
        <v/>
      </c>
      <c r="L10" s="9" t="str">
        <f>IFERROR(IF(Master!K46="", "", Master!K46), "")</f>
        <v/>
      </c>
      <c r="M10" s="9" t="str">
        <f>IFERROR(IF(Master!L46="", "", Master!L46), "")</f>
        <v/>
      </c>
      <c r="N10" s="9" t="str">
        <f>IFERROR(IF(Master!M46="", "", Master!M46), "")</f>
        <v/>
      </c>
      <c r="O10" s="9" t="str">
        <f>IFERROR(IF(Master!N46="", "", Master!N46), "")</f>
        <v/>
      </c>
      <c r="P10" s="9" t="str">
        <f>IFERROR(IF(Master!O46="", "", Master!O46), "")</f>
        <v/>
      </c>
      <c r="Q10" s="9" t="str">
        <f>IFERROR(IF(Master!P46="", "", Master!P46), "")</f>
        <v/>
      </c>
      <c r="R10" s="9" t="str">
        <f>IFERROR(IF(Master!Q46="", "", Master!Q46), "")</f>
        <v/>
      </c>
      <c r="S10" s="9" t="str">
        <f>IFERROR(IF(Master!R46="", "", Master!R46), "")</f>
        <v/>
      </c>
      <c r="T10" s="9" t="str">
        <f>IFERROR(IF(Master!S46="", "", Master!S46), "")</f>
        <v/>
      </c>
      <c r="U10" s="9" t="str">
        <f>IFERROR(IF(Master!T46="", "", Master!T46), "")</f>
        <v/>
      </c>
      <c r="V10" s="9" t="str">
        <f>IFERROR(IF(Master!U46="", "", Master!U46), "")</f>
        <v/>
      </c>
      <c r="W10" s="9" t="str">
        <f>IFERROR(IF(Master!V46="", "", Master!V46), "")</f>
        <v/>
      </c>
      <c r="X10" s="9" t="str">
        <f>IFERROR(IF(Master!W46="", "", Master!W46), "")</f>
        <v/>
      </c>
      <c r="Y10" s="9" t="str">
        <f>IFERROR(IF(Master!X46="", "", Master!X46), "")</f>
        <v/>
      </c>
      <c r="Z10" s="9" t="str">
        <f>IFERROR(IF(Master!Y46="", "", Master!Y46), "")</f>
        <v/>
      </c>
      <c r="AA10" s="9" t="str">
        <f>IFERROR(IF(Master!Z46="", "", Master!Z46), "")</f>
        <v/>
      </c>
      <c r="AB10" s="9" t="str">
        <f>IFERROR(IF(Master!AA46="", "", Master!AA46), "")</f>
        <v/>
      </c>
      <c r="AC10" s="9" t="str">
        <f>IFERROR(IF(Master!AB46="", "", Master!AB46), "")</f>
        <v/>
      </c>
      <c r="AD10" s="9" t="str">
        <f>IFERROR(IF(Master!AC46="", "", Master!AC46), "")</f>
        <v/>
      </c>
      <c r="AE10" s="9" t="str">
        <f>IFERROR(IF(Master!AD46="", "", Master!AD46), "")</f>
        <v/>
      </c>
      <c r="AF10" s="9" t="str">
        <f>IFERROR(IF(Master!AE46="", "", Master!AE46), "")</f>
        <v/>
      </c>
      <c r="AG10" s="9" t="str">
        <f>IFERROR(IF(Master!AF46="", "", Master!AF46),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18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19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20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21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12">
        <f t="shared" si="1"/>
        <v>22</v>
      </c>
      <c r="AG13" s="12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46143</v>
      </c>
      <c r="D16" s="72">
        <f t="shared" si="2"/>
        <v>46144</v>
      </c>
      <c r="E16" s="72">
        <f t="shared" si="2"/>
        <v>46145</v>
      </c>
      <c r="F16" s="72">
        <f t="shared" si="2"/>
        <v>46146</v>
      </c>
      <c r="G16" s="72">
        <f t="shared" si="2"/>
        <v>46147</v>
      </c>
      <c r="H16" s="72">
        <f t="shared" si="2"/>
        <v>46148</v>
      </c>
      <c r="I16" s="72">
        <f t="shared" si="2"/>
        <v>46149</v>
      </c>
      <c r="J16" s="72">
        <f t="shared" si="2"/>
        <v>46150</v>
      </c>
      <c r="K16" s="72">
        <f t="shared" si="2"/>
        <v>46151</v>
      </c>
      <c r="L16" s="72">
        <f t="shared" si="2"/>
        <v>46152</v>
      </c>
      <c r="M16" s="72">
        <f t="shared" si="2"/>
        <v>46153</v>
      </c>
      <c r="N16" s="72">
        <f t="shared" si="2"/>
        <v>46154</v>
      </c>
      <c r="O16" s="72">
        <f t="shared" si="2"/>
        <v>46155</v>
      </c>
      <c r="P16" s="72">
        <f t="shared" si="2"/>
        <v>46156</v>
      </c>
      <c r="Q16" s="72">
        <f t="shared" si="2"/>
        <v>46157</v>
      </c>
      <c r="R16" s="72">
        <f t="shared" si="2"/>
        <v>46158</v>
      </c>
      <c r="S16" s="72">
        <f t="shared" si="2"/>
        <v>46159</v>
      </c>
      <c r="T16" s="72">
        <f t="shared" si="2"/>
        <v>46160</v>
      </c>
      <c r="U16" s="72">
        <f t="shared" si="2"/>
        <v>46161</v>
      </c>
      <c r="V16" s="72">
        <f t="shared" si="2"/>
        <v>46162</v>
      </c>
      <c r="W16" s="72">
        <f t="shared" si="2"/>
        <v>46163</v>
      </c>
      <c r="X16" s="72">
        <f t="shared" si="2"/>
        <v>46164</v>
      </c>
      <c r="Y16" s="72">
        <f t="shared" si="2"/>
        <v>46165</v>
      </c>
      <c r="Z16" s="72">
        <f t="shared" si="2"/>
        <v>46166</v>
      </c>
      <c r="AA16" s="72">
        <f t="shared" si="2"/>
        <v>46167</v>
      </c>
      <c r="AB16" s="72">
        <f t="shared" si="2"/>
        <v>46168</v>
      </c>
      <c r="AC16" s="72">
        <f t="shared" si="2"/>
        <v>46169</v>
      </c>
      <c r="AD16" s="72">
        <f t="shared" si="2"/>
        <v>46170</v>
      </c>
      <c r="AE16" s="72">
        <f t="shared" si="2"/>
        <v>46171</v>
      </c>
      <c r="AF16" s="72">
        <f t="shared" si="2"/>
        <v>46172</v>
      </c>
      <c r="AG16" s="72">
        <f t="shared" si="2"/>
        <v>46173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Fri</v>
      </c>
      <c r="D17" s="39" t="str">
        <f t="shared" ref="D17:AG17" si="3">TEXT(D16,"ddd")</f>
        <v>Sat</v>
      </c>
      <c r="E17" s="39" t="str">
        <f t="shared" si="3"/>
        <v>Sun</v>
      </c>
      <c r="F17" s="39" t="str">
        <f t="shared" si="3"/>
        <v>Mon</v>
      </c>
      <c r="G17" s="39" t="str">
        <f t="shared" si="3"/>
        <v>Tue</v>
      </c>
      <c r="H17" s="39" t="str">
        <f t="shared" si="3"/>
        <v>Wed</v>
      </c>
      <c r="I17" s="39" t="str">
        <f t="shared" si="3"/>
        <v>Thu</v>
      </c>
      <c r="J17" s="39" t="str">
        <f t="shared" si="3"/>
        <v>Fri</v>
      </c>
      <c r="K17" s="39" t="str">
        <f t="shared" si="3"/>
        <v>Sat</v>
      </c>
      <c r="L17" s="39" t="str">
        <f t="shared" si="3"/>
        <v>Sun</v>
      </c>
      <c r="M17" s="39" t="str">
        <f t="shared" si="3"/>
        <v>Mon</v>
      </c>
      <c r="N17" s="39" t="str">
        <f t="shared" si="3"/>
        <v>Tue</v>
      </c>
      <c r="O17" s="39" t="str">
        <f t="shared" si="3"/>
        <v>Wed</v>
      </c>
      <c r="P17" s="39" t="str">
        <f t="shared" si="3"/>
        <v>Thu</v>
      </c>
      <c r="Q17" s="39" t="str">
        <f t="shared" si="3"/>
        <v>Fri</v>
      </c>
      <c r="R17" s="39" t="str">
        <f t="shared" si="3"/>
        <v>Sat</v>
      </c>
      <c r="S17" s="39" t="str">
        <f t="shared" si="3"/>
        <v>Sun</v>
      </c>
      <c r="T17" s="39" t="str">
        <f t="shared" si="3"/>
        <v>Mon</v>
      </c>
      <c r="U17" s="39" t="str">
        <f t="shared" si="3"/>
        <v>Tue</v>
      </c>
      <c r="V17" s="39" t="str">
        <f t="shared" si="3"/>
        <v>Wed</v>
      </c>
      <c r="W17" s="39" t="str">
        <f t="shared" si="3"/>
        <v>Thu</v>
      </c>
      <c r="X17" s="39" t="str">
        <f t="shared" si="3"/>
        <v>Fri</v>
      </c>
      <c r="Y17" s="39" t="str">
        <f t="shared" si="3"/>
        <v>Sat</v>
      </c>
      <c r="Z17" s="39" t="str">
        <f t="shared" si="3"/>
        <v>Sun</v>
      </c>
      <c r="AA17" s="39" t="str">
        <f t="shared" si="3"/>
        <v>Mon</v>
      </c>
      <c r="AB17" s="39" t="str">
        <f t="shared" si="3"/>
        <v>Tue</v>
      </c>
      <c r="AC17" s="39" t="str">
        <f t="shared" si="3"/>
        <v>Wed</v>
      </c>
      <c r="AD17" s="39" t="str">
        <f t="shared" si="3"/>
        <v>Thu</v>
      </c>
      <c r="AE17" s="39" t="str">
        <f t="shared" si="3"/>
        <v>Fri</v>
      </c>
      <c r="AF17" s="39" t="str">
        <f t="shared" si="3"/>
        <v>Sat</v>
      </c>
      <c r="AG17" s="39" t="str">
        <f t="shared" si="3"/>
        <v>Sun</v>
      </c>
      <c r="AK17" s="85"/>
      <c r="AL17" s="85"/>
      <c r="AM17" s="85"/>
      <c r="AN17" s="83"/>
      <c r="AO17" s="83"/>
      <c r="AP17" s="83"/>
    </row>
    <row r="18" spans="1:42" ht="23.2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PH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HD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DO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HD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DO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HD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DO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HD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DO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PH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HD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DO</v>
      </c>
      <c r="AK18" s="11" t="s">
        <v>118</v>
      </c>
      <c r="AL18" s="65">
        <f>SUMPRODUCT((C18:AG18="D")*8) + SUMPRODUCT((C18:AG18="E")*8) + SUMPRODUCT((C18:AG18="HD")*4)</f>
        <v>172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172</v>
      </c>
      <c r="AO18" s="67">
        <f>AN18-$AN$18</f>
        <v>0</v>
      </c>
      <c r="AP18" s="67">
        <f>AO18</f>
        <v>0</v>
      </c>
    </row>
    <row r="19" spans="1:42" ht="23.2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PH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DO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DO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DO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DO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DO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DO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PH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DO</v>
      </c>
      <c r="AK19" s="11" t="s">
        <v>21</v>
      </c>
      <c r="AL19" s="65">
        <f t="shared" ref="AL19:AL26" si="4">SUMPRODUCT((C19:AG19="D")*8) + SUMPRODUCT((C19:AG19="E")*8) + SUMPRODUCT((C19:AG19="HD")*4)</f>
        <v>176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176</v>
      </c>
      <c r="AO19" s="67">
        <f t="shared" ref="AO19:AO31" si="6">AN19-$AN$18</f>
        <v>4</v>
      </c>
      <c r="AP19" s="67">
        <f t="shared" ref="AP19:AP31" si="7">AO19</f>
        <v>4</v>
      </c>
    </row>
    <row r="20" spans="1:42" ht="23.2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PH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HD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DO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HD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DO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HD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DO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HD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DO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PH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HD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DO</v>
      </c>
      <c r="AK20" s="11" t="s">
        <v>119</v>
      </c>
      <c r="AL20" s="65">
        <f t="shared" si="4"/>
        <v>172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172</v>
      </c>
      <c r="AO20" s="67">
        <f t="shared" si="6"/>
        <v>0</v>
      </c>
      <c r="AP20" s="67">
        <f t="shared" si="7"/>
        <v>0</v>
      </c>
    </row>
    <row r="21" spans="1:42" ht="23.2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PH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DO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DO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E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E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E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DO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DO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DO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DO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E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E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D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DO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PH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E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E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E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E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DO</v>
      </c>
      <c r="AK21" s="11" t="s">
        <v>24</v>
      </c>
      <c r="AL21" s="65">
        <f t="shared" si="4"/>
        <v>168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168</v>
      </c>
      <c r="AO21" s="67">
        <f t="shared" si="6"/>
        <v>-4</v>
      </c>
      <c r="AP21" s="67">
        <f t="shared" si="7"/>
        <v>-4</v>
      </c>
    </row>
    <row r="22" spans="1:42" ht="23.2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PH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DO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E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DO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E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D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DO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AL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DO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DO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PH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AL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AL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AL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AL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DO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DO</v>
      </c>
      <c r="AK22" s="11" t="s">
        <v>22</v>
      </c>
      <c r="AL22" s="65">
        <f t="shared" si="4"/>
        <v>136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40</v>
      </c>
      <c r="AN22" s="68">
        <f t="shared" si="5"/>
        <v>176</v>
      </c>
      <c r="AO22" s="67">
        <f t="shared" si="6"/>
        <v>4</v>
      </c>
      <c r="AP22" s="67">
        <f t="shared" si="7"/>
        <v>4</v>
      </c>
    </row>
    <row r="23" spans="1:42" ht="23.2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PH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D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DO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E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E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E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E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DO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DO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DO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E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E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DO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DO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PH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DO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DO</v>
      </c>
      <c r="AK23" s="11" t="s">
        <v>23</v>
      </c>
      <c r="AL23" s="65">
        <f t="shared" si="4"/>
        <v>168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168</v>
      </c>
      <c r="AO23" s="67">
        <f t="shared" si="6"/>
        <v>-4</v>
      </c>
      <c r="AP23" s="67">
        <f t="shared" si="7"/>
        <v>-4</v>
      </c>
    </row>
    <row r="24" spans="1:42" ht="23.2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PH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DO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DO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DO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E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E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E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E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D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DO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DO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DO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PH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D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D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DO</v>
      </c>
      <c r="AK24" s="11" t="s">
        <v>25</v>
      </c>
      <c r="AL24" s="65">
        <f t="shared" si="4"/>
        <v>176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176</v>
      </c>
      <c r="AO24" s="67">
        <f t="shared" si="6"/>
        <v>4</v>
      </c>
      <c r="AP24" s="67">
        <f t="shared" si="7"/>
        <v>4</v>
      </c>
    </row>
    <row r="25" spans="1:42" ht="23.2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PH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DO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DO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DO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DO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E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E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E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E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E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DO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E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DO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PH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E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DO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DO</v>
      </c>
      <c r="AK25" s="11" t="s">
        <v>27</v>
      </c>
      <c r="AL25" s="65">
        <f t="shared" si="4"/>
        <v>168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168</v>
      </c>
      <c r="AO25" s="67">
        <f t="shared" si="6"/>
        <v>-4</v>
      </c>
      <c r="AP25" s="67">
        <f t="shared" si="7"/>
        <v>-4</v>
      </c>
    </row>
    <row r="26" spans="1:42" ht="23.2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PH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DO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DO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E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E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E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E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E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DO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D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DO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DO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E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E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E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E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DO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PH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E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E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E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E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DO</v>
      </c>
      <c r="AK26" s="11" t="s">
        <v>26</v>
      </c>
      <c r="AL26" s="65">
        <f t="shared" si="4"/>
        <v>176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176</v>
      </c>
      <c r="AO26" s="67">
        <f t="shared" si="6"/>
        <v>4</v>
      </c>
      <c r="AP26" s="67">
        <f t="shared" si="7"/>
        <v>4</v>
      </c>
    </row>
    <row r="27" spans="1:42" ht="23.2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PH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DO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DO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HD2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DO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DO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DO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B6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HD2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DO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PH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DO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DO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 t="shared" si="7"/>
        <v>0</v>
      </c>
    </row>
    <row r="28" spans="1:42" ht="23.2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PH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HD2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DO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DO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DO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HD2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DO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D1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DO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DO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PH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HD2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DO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 t="shared" si="7"/>
        <v>0</v>
      </c>
    </row>
    <row r="29" spans="1:42" ht="23.2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 t="shared" si="7"/>
        <v>0</v>
      </c>
    </row>
    <row r="30" spans="1:42" ht="23.2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 t="shared" si="7"/>
        <v>0</v>
      </c>
    </row>
    <row r="31" spans="1:42" ht="23.2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PH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HD1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DO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HD1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DO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HD1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DO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HD1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DO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PH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HD1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DO</v>
      </c>
      <c r="AK31" s="11" t="s">
        <v>136</v>
      </c>
      <c r="AL31" s="11">
        <f>SUMPRODUCT((C31:AG31="D")*8) + SUMPRODUCT((C31:AG31="E")*8) + SUMPRODUCT((C31:AG31="HD1")*4)</f>
        <v>172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172</v>
      </c>
      <c r="AO31" s="67">
        <f t="shared" si="6"/>
        <v>0</v>
      </c>
      <c r="AP31" s="67">
        <f t="shared" si="7"/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3">
    <cfRule type="expression" dxfId="151" priority="36">
      <formula>B$36="sun"</formula>
    </cfRule>
  </conditionalFormatting>
  <conditionalFormatting sqref="C3:AG10">
    <cfRule type="expression" dxfId="148" priority="42">
      <formula>WEEKDAY(C3,2)=7</formula>
    </cfRule>
  </conditionalFormatting>
  <conditionalFormatting sqref="C4:AG10">
    <cfRule type="expression" dxfId="147" priority="39">
      <formula>C$4="Sun"</formula>
    </cfRule>
  </conditionalFormatting>
  <conditionalFormatting sqref="C5:AG10">
    <cfRule type="expression" dxfId="146" priority="38">
      <formula>B$36="sun"</formula>
    </cfRule>
  </conditionalFormatting>
  <conditionalFormatting sqref="C17:AG17">
    <cfRule type="expression" dxfId="143" priority="24">
      <formula>C$17="sun"</formula>
    </cfRule>
    <cfRule type="expression" dxfId="142" priority="25">
      <formula>C$17="sat"</formula>
    </cfRule>
  </conditionalFormatting>
  <conditionalFormatting sqref="C18:AG31">
    <cfRule type="expression" dxfId="141" priority="1">
      <formula>C18="HDAL"</formula>
    </cfRule>
    <cfRule type="expression" dxfId="140" priority="2">
      <formula>C18="PH"</formula>
    </cfRule>
    <cfRule type="expression" dxfId="139" priority="3">
      <formula>C18="AL"</formula>
    </cfRule>
    <cfRule type="expression" dxfId="137" priority="5">
      <formula>C18="DO"</formula>
    </cfRule>
  </conditionalFormatting>
  <conditionalFormatting sqref="AO18:AP31">
    <cfRule type="expression" dxfId="136" priority="6">
      <formula>AO18&gt;0</formula>
    </cfRule>
    <cfRule type="expression" dxfId="135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8EB2F4E0-48CC-4759-A77D-CC41A67F0A6D}">
            <xm:f>AND(COUNTIF(PH!$A:$A,C3)&gt;0,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41" id="{17AAD49F-20EF-44A5-BB51-D2D92351C51C}">
            <xm:f>COUNTIF(PH!$A:$A, C3)&gt;0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13" id="{A8BD2E76-6B27-4884-8631-F8A15688C223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14" id="{8C44290B-DB73-4EBA-BAD5-9EE4E1A5BCDC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4DFCC8DA-A8A7-4147-AEE9-3D3804AD2FB7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6D434B-EFDC-4842-9E09-5B527B51A0DB}">
          <x14:formula1>
            <xm:f>'On call stat'!$T$3:$T$21</xm:f>
          </x14:formula1>
          <xm:sqref>C5:C10 D5:J6 K5 C3:AG3 L5:AG6 D7:AG10</xm:sqref>
        </x14:dataValidation>
        <x14:dataValidation type="list" allowBlank="1" showInputMessage="1" showErrorMessage="1" xr:uid="{FB44A5EC-AE53-430E-9067-DD3CC6790290}">
          <x14:formula1>
            <xm:f>'On call stat'!$T$3:$T$19</xm:f>
          </x14:formula1>
          <xm:sqref>K6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8640-B78B-47E4-8BBA-DD226A66ED85}">
  <sheetPr codeName="Sheet7"/>
  <dimension ref="A1:AP48"/>
  <sheetViews>
    <sheetView topLeftCell="G23" zoomScale="70" zoomScaleNormal="70" workbookViewId="0">
      <selection activeCell="C18" sqref="C18:AF31"/>
    </sheetView>
  </sheetViews>
  <sheetFormatPr defaultRowHeight="15"/>
  <cols>
    <col min="2" max="2" width="31.5703125" customWidth="1"/>
    <col min="35" max="35" width="9.140625" style="42"/>
    <col min="36" max="36" width="0" style="42" hidden="1" customWidth="1"/>
    <col min="40" max="40" width="13.8554687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IFERROR(IF(Master!B48="", "", Master!B48), "")</f>
        <v>46174</v>
      </c>
      <c r="D3" s="9">
        <f>IFERROR(IF(Master!C48="", "", Master!C48), "")</f>
        <v>46175</v>
      </c>
      <c r="E3" s="9">
        <f>IFERROR(IF(Master!D48="", "", Master!D48), "")</f>
        <v>46176</v>
      </c>
      <c r="F3" s="9">
        <f>IFERROR(IF(Master!E48="", "", Master!E48), "")</f>
        <v>46177</v>
      </c>
      <c r="G3" s="9">
        <f>IFERROR(IF(Master!F48="", "", Master!F48), "")</f>
        <v>46178</v>
      </c>
      <c r="H3" s="9">
        <f>IFERROR(IF(Master!G48="", "", Master!G48), "")</f>
        <v>46179</v>
      </c>
      <c r="I3" s="9">
        <f>IFERROR(IF(Master!H48="", "", Master!H48), "")</f>
        <v>46180</v>
      </c>
      <c r="J3" s="9">
        <f>IFERROR(IF(Master!I48="", "", Master!I48), "")</f>
        <v>46181</v>
      </c>
      <c r="K3" s="9">
        <f>IFERROR(IF(Master!J48="", "", Master!J48), "")</f>
        <v>46182</v>
      </c>
      <c r="L3" s="9">
        <f>IFERROR(IF(Master!K48="", "", Master!K48), "")</f>
        <v>46183</v>
      </c>
      <c r="M3" s="9">
        <f>IFERROR(IF(Master!L48="", "", Master!L48), "")</f>
        <v>46184</v>
      </c>
      <c r="N3" s="9">
        <f>IFERROR(IF(Master!M48="", "", Master!M48), "")</f>
        <v>46185</v>
      </c>
      <c r="O3" s="9">
        <f>IFERROR(IF(Master!N48="", "", Master!N48), "")</f>
        <v>46186</v>
      </c>
      <c r="P3" s="9">
        <f>IFERROR(IF(Master!O48="", "", Master!O48), "")</f>
        <v>46187</v>
      </c>
      <c r="Q3" s="9">
        <f>IFERROR(IF(Master!P48="", "", Master!P48), "")</f>
        <v>46188</v>
      </c>
      <c r="R3" s="9">
        <f>IFERROR(IF(Master!Q48="", "", Master!Q48), "")</f>
        <v>46189</v>
      </c>
      <c r="S3" s="9">
        <f>IFERROR(IF(Master!R48="", "", Master!R48), "")</f>
        <v>46190</v>
      </c>
      <c r="T3" s="9">
        <f>IFERROR(IF(Master!S48="", "", Master!S48), "")</f>
        <v>46191</v>
      </c>
      <c r="U3" s="9">
        <f>IFERROR(IF(Master!T48="", "", Master!T48), "")</f>
        <v>46192</v>
      </c>
      <c r="V3" s="9">
        <f>IFERROR(IF(Master!U48="", "", Master!U48), "")</f>
        <v>46193</v>
      </c>
      <c r="W3" s="9">
        <f>IFERROR(IF(Master!V48="", "", Master!V48), "")</f>
        <v>46194</v>
      </c>
      <c r="X3" s="9">
        <f>IFERROR(IF(Master!W48="", "", Master!W48), "")</f>
        <v>46195</v>
      </c>
      <c r="Y3" s="9">
        <f>IFERROR(IF(Master!X48="", "", Master!X48), "")</f>
        <v>46196</v>
      </c>
      <c r="Z3" s="9">
        <f>IFERROR(IF(Master!Y48="", "", Master!Y48), "")</f>
        <v>46197</v>
      </c>
      <c r="AA3" s="9">
        <f>IFERROR(IF(Master!Z48="", "", Master!Z48), "")</f>
        <v>46198</v>
      </c>
      <c r="AB3" s="9">
        <f>IFERROR(IF(Master!AA48="", "", Master!AA48), "")</f>
        <v>46199</v>
      </c>
      <c r="AC3" s="9">
        <f>IFERROR(IF(Master!AB48="", "", Master!AB48), "")</f>
        <v>46200</v>
      </c>
      <c r="AD3" s="9">
        <f>IFERROR(IF(Master!AC48="", "", Master!AC48), "")</f>
        <v>46201</v>
      </c>
      <c r="AE3" s="9">
        <f>IFERROR(IF(Master!AD48="", "", Master!AD48), "")</f>
        <v>46202</v>
      </c>
      <c r="AF3" s="9">
        <f>IFERROR(IF(Master!AE48="", "", Master!AE48), "")</f>
        <v>46203</v>
      </c>
    </row>
    <row r="4" spans="1:42">
      <c r="C4" s="13" t="str">
        <f t="shared" ref="C4:AF4" si="0">TEXT(C3,"ddd")</f>
        <v>Mon</v>
      </c>
      <c r="D4" s="13" t="str">
        <f t="shared" si="0"/>
        <v>Tue</v>
      </c>
      <c r="E4" s="13" t="str">
        <f t="shared" si="0"/>
        <v>Wed</v>
      </c>
      <c r="F4" s="13" t="str">
        <f t="shared" si="0"/>
        <v>Thu</v>
      </c>
      <c r="G4" s="13" t="str">
        <f t="shared" si="0"/>
        <v>Fri</v>
      </c>
      <c r="H4" s="13" t="str">
        <f t="shared" si="0"/>
        <v>Sat</v>
      </c>
      <c r="I4" s="13" t="str">
        <f t="shared" si="0"/>
        <v>Sun</v>
      </c>
      <c r="J4" s="13" t="str">
        <f t="shared" si="0"/>
        <v>Mon</v>
      </c>
      <c r="K4" s="13" t="str">
        <f t="shared" si="0"/>
        <v>Tue</v>
      </c>
      <c r="L4" s="13" t="str">
        <f t="shared" si="0"/>
        <v>Wed</v>
      </c>
      <c r="M4" s="13" t="str">
        <f t="shared" si="0"/>
        <v>Thu</v>
      </c>
      <c r="N4" s="13" t="str">
        <f t="shared" si="0"/>
        <v>Fri</v>
      </c>
      <c r="O4" s="13" t="str">
        <f t="shared" si="0"/>
        <v>Sat</v>
      </c>
      <c r="P4" s="13" t="str">
        <f t="shared" si="0"/>
        <v>Sun</v>
      </c>
      <c r="Q4" s="13" t="str">
        <f t="shared" si="0"/>
        <v>Mon</v>
      </c>
      <c r="R4" s="13" t="str">
        <f t="shared" si="0"/>
        <v>Tue</v>
      </c>
      <c r="S4" s="13" t="str">
        <f t="shared" si="0"/>
        <v>Wed</v>
      </c>
      <c r="T4" s="13" t="str">
        <f t="shared" si="0"/>
        <v>Thu</v>
      </c>
      <c r="U4" s="13" t="str">
        <f t="shared" si="0"/>
        <v>Fri</v>
      </c>
      <c r="V4" s="13" t="str">
        <f t="shared" si="0"/>
        <v>Sat</v>
      </c>
      <c r="W4" s="13" t="str">
        <f t="shared" si="0"/>
        <v>Sun</v>
      </c>
      <c r="X4" s="13" t="str">
        <f t="shared" si="0"/>
        <v>Mon</v>
      </c>
      <c r="Y4" s="13" t="str">
        <f t="shared" si="0"/>
        <v>Tue</v>
      </c>
      <c r="Z4" s="13" t="str">
        <f t="shared" si="0"/>
        <v>Wed</v>
      </c>
      <c r="AA4" s="13" t="str">
        <f t="shared" si="0"/>
        <v>Thu</v>
      </c>
      <c r="AB4" s="13" t="str">
        <f t="shared" si="0"/>
        <v>Fri</v>
      </c>
      <c r="AC4" s="13" t="str">
        <f t="shared" si="0"/>
        <v>Sat</v>
      </c>
      <c r="AD4" s="13" t="str">
        <f t="shared" si="0"/>
        <v>Sun</v>
      </c>
      <c r="AE4" s="13" t="str">
        <f t="shared" si="0"/>
        <v>Mon</v>
      </c>
      <c r="AF4" s="13" t="str">
        <f t="shared" si="0"/>
        <v>Tue</v>
      </c>
    </row>
    <row r="5" spans="1:42">
      <c r="C5" s="79" t="str">
        <f>IFERROR(IF(Master!B50="", "", Master!B50), "")</f>
        <v>A Lam</v>
      </c>
      <c r="D5" s="79" t="str">
        <f>IFERROR(IF(Master!C50="", "", Master!C50), "")</f>
        <v>A Lam</v>
      </c>
      <c r="E5" s="79" t="str">
        <f>IFERROR(IF(Master!D50="", "", Master!D50), "")</f>
        <v>A Lam</v>
      </c>
      <c r="F5" s="79" t="str">
        <f>IFERROR(IF(Master!E50="", "", Master!E50), "")</f>
        <v>A Lam</v>
      </c>
      <c r="G5" s="79" t="str">
        <f>IFERROR(IF(Master!F50="", "", Master!F50), "")</f>
        <v>A Lam</v>
      </c>
      <c r="H5" s="79" t="str">
        <f>IFERROR(IF(Master!G50="", "", Master!G50), "")</f>
        <v>A Lam</v>
      </c>
      <c r="I5" s="79" t="str">
        <f>IFERROR(IF(Master!H50="", "", Master!H50), "")</f>
        <v>A Lam</v>
      </c>
      <c r="J5" s="79" t="str">
        <f>IFERROR(IF(Master!I50="", "", Master!I50), "")</f>
        <v>Amy</v>
      </c>
      <c r="K5" s="79" t="str">
        <f>IFERROR(IF(Master!J50="", "", Master!J50), "")</f>
        <v>Amy</v>
      </c>
      <c r="L5" s="79" t="str">
        <f>IFERROR(IF(Master!K50="", "", Master!K50), "")</f>
        <v>Amy</v>
      </c>
      <c r="M5" s="79" t="str">
        <f>IFERROR(IF(Master!L50="", "", Master!L50), "")</f>
        <v>Amy</v>
      </c>
      <c r="N5" s="79" t="str">
        <f>IFERROR(IF(Master!M50="", "", Master!M50), "")</f>
        <v>Amy</v>
      </c>
      <c r="O5" s="79" t="str">
        <f>IFERROR(IF(Master!N50="", "", Master!N50), "")</f>
        <v>Amy</v>
      </c>
      <c r="P5" s="79" t="str">
        <f>IFERROR(IF(Master!O50="", "", Master!O50), "")</f>
        <v>Amy</v>
      </c>
      <c r="Q5" s="79" t="str">
        <f>IFERROR(IF(Master!P50="", "", Master!P50), "")</f>
        <v>Amy</v>
      </c>
      <c r="R5" s="79" t="str">
        <f>IFERROR(IF(Master!Q50="", "", Master!Q50), "")</f>
        <v>Amy</v>
      </c>
      <c r="S5" s="79" t="str">
        <f>IFERROR(IF(Master!R50="", "", Master!R50), "")</f>
        <v>Amy</v>
      </c>
      <c r="T5" s="79" t="str">
        <f>IFERROR(IF(Master!S50="", "", Master!S50), "")</f>
        <v>Amy</v>
      </c>
      <c r="U5" s="79" t="str">
        <f>IFERROR(IF(Master!T50="", "", Master!T50), "")</f>
        <v>Amy</v>
      </c>
      <c r="V5" s="79" t="str">
        <f>IFERROR(IF(Master!U50="", "", Master!U50), "")</f>
        <v>Amy</v>
      </c>
      <c r="W5" s="79" t="str">
        <f>IFERROR(IF(Master!V50="", "", Master!V50), "")</f>
        <v>Amy</v>
      </c>
      <c r="X5" s="79" t="str">
        <f>IFERROR(IF(Master!W50="", "", Master!W50), "")</f>
        <v>Dicky</v>
      </c>
      <c r="Y5" s="79" t="str">
        <f>IFERROR(IF(Master!X50="", "", Master!X50), "")</f>
        <v>Dicky</v>
      </c>
      <c r="Z5" s="79" t="str">
        <f>IFERROR(IF(Master!Y50="", "", Master!Y50), "")</f>
        <v>Dicky</v>
      </c>
      <c r="AA5" s="79" t="str">
        <f>IFERROR(IF(Master!Z50="", "", Master!Z50), "")</f>
        <v>Dicky</v>
      </c>
      <c r="AB5" s="79" t="str">
        <f>IFERROR(IF(Master!AA50="", "", Master!AA50), "")</f>
        <v>Dicky</v>
      </c>
      <c r="AC5" s="79" t="str">
        <f>IFERROR(IF(Master!AB50="", "", Master!AB50), "")</f>
        <v>Dicky</v>
      </c>
      <c r="AD5" s="79" t="str">
        <f>IFERROR(IF(Master!AC50="", "", Master!AC50), "")</f>
        <v>Dicky</v>
      </c>
      <c r="AE5" s="79" t="str">
        <f>IFERROR(IF(Master!AD50="", "", Master!AD50), "")</f>
        <v>Dicky</v>
      </c>
      <c r="AF5" s="79" t="str">
        <f>IFERROR(IF(Master!AE50="", "", Master!AE50), "")</f>
        <v>Dicky</v>
      </c>
    </row>
    <row r="6" spans="1:42">
      <c r="C6" s="79" t="str">
        <f>IFERROR(IF(Master!B51="", "", Master!B51), "")</f>
        <v>Melody</v>
      </c>
      <c r="D6" s="79" t="str">
        <f>IFERROR(IF(Master!C51="", "", Master!C51), "")</f>
        <v>Melody</v>
      </c>
      <c r="E6" s="79" t="str">
        <f>IFERROR(IF(Master!D51="", "", Master!D51), "")</f>
        <v>Melody</v>
      </c>
      <c r="F6" s="79" t="str">
        <f>IFERROR(IF(Master!E51="", "", Master!E51), "")</f>
        <v>Melody</v>
      </c>
      <c r="G6" s="79" t="str">
        <f>IFERROR(IF(Master!F51="", "", Master!F51), "")</f>
        <v>Melody</v>
      </c>
      <c r="H6" s="79" t="str">
        <f>IFERROR(IF(Master!G51="", "", Master!G51), "")</f>
        <v>Melody</v>
      </c>
      <c r="I6" s="79" t="str">
        <f>IFERROR(IF(Master!H51="", "", Master!H51), "")</f>
        <v>Melody</v>
      </c>
      <c r="J6" s="79" t="str">
        <f>IFERROR(IF(Master!I51="", "", Master!I51), "")</f>
        <v>A Lam</v>
      </c>
      <c r="K6" s="79" t="str">
        <f>IFERROR(IF(Master!J51="", "", Master!J51), "")</f>
        <v>A Lam</v>
      </c>
      <c r="L6" s="79" t="str">
        <f>IFERROR(IF(Master!K51="", "", Master!K51), "")</f>
        <v>A Lam</v>
      </c>
      <c r="M6" s="79" t="str">
        <f>IFERROR(IF(Master!L51="", "", Master!L51), "")</f>
        <v>A Lam</v>
      </c>
      <c r="N6" s="79" t="str">
        <f>IFERROR(IF(Master!M51="", "", Master!M51), "")</f>
        <v>A Lam</v>
      </c>
      <c r="O6" s="79" t="str">
        <f>IFERROR(IF(Master!N51="", "", Master!N51), "")</f>
        <v>A Lam</v>
      </c>
      <c r="P6" s="79" t="str">
        <f>IFERROR(IF(Master!O51="", "", Master!O51), "")</f>
        <v>A Lam</v>
      </c>
      <c r="Q6" s="79" t="str">
        <f>IFERROR(IF(Master!P51="", "", Master!P51), "")</f>
        <v>Ka Po</v>
      </c>
      <c r="R6" s="79" t="str">
        <f>IFERROR(IF(Master!Q51="", "", Master!Q51), "")</f>
        <v>Ka Po</v>
      </c>
      <c r="S6" s="79" t="str">
        <f>IFERROR(IF(Master!R51="", "", Master!R51), "")</f>
        <v>Ka Po</v>
      </c>
      <c r="T6" s="79" t="str">
        <f>IFERROR(IF(Master!S51="", "", Master!S51), "")</f>
        <v>Ka Po</v>
      </c>
      <c r="U6" s="79" t="str">
        <f>IFERROR(IF(Master!T51="", "", Master!T51), "")</f>
        <v>Ka Po</v>
      </c>
      <c r="V6" s="79" t="str">
        <f>IFERROR(IF(Master!U51="", "", Master!U51), "")</f>
        <v>Ka Po</v>
      </c>
      <c r="W6" s="79" t="str">
        <f>IFERROR(IF(Master!V51="", "", Master!V51), "")</f>
        <v>Ka Po</v>
      </c>
      <c r="X6" s="79" t="str">
        <f>IFERROR(IF(Master!W51="", "", Master!W51), "")</f>
        <v>A Lam</v>
      </c>
      <c r="Y6" s="79" t="str">
        <f>IFERROR(IF(Master!X51="", "", Master!X51), "")</f>
        <v>A Lam</v>
      </c>
      <c r="Z6" s="79" t="str">
        <f>IFERROR(IF(Master!Y51="", "", Master!Y51), "")</f>
        <v>A Lam</v>
      </c>
      <c r="AA6" s="79" t="str">
        <f>IFERROR(IF(Master!Z51="", "", Master!Z51), "")</f>
        <v>A Lam</v>
      </c>
      <c r="AB6" s="79" t="str">
        <f>IFERROR(IF(Master!AA51="", "", Master!AA51), "")</f>
        <v>A Lam</v>
      </c>
      <c r="AC6" s="79" t="str">
        <f>IFERROR(IF(Master!AB51="", "", Master!AB51), "")</f>
        <v>A Lam</v>
      </c>
      <c r="AD6" s="79" t="str">
        <f>IFERROR(IF(Master!AC51="", "", Master!AC51), "")</f>
        <v>A Lam</v>
      </c>
      <c r="AE6" s="79" t="str">
        <f>IFERROR(IF(Master!AD51="", "", Master!AD51), "")</f>
        <v>Ka Po</v>
      </c>
      <c r="AF6" s="79" t="str">
        <f>IFERROR(IF(Master!AE51="", "", Master!AE51), "")</f>
        <v>Ka Po</v>
      </c>
    </row>
    <row r="7" spans="1:42">
      <c r="C7" s="79" t="str">
        <f>IFERROR(IF(Master!B52="", "", Master!B52), "")</f>
        <v>Ka Po</v>
      </c>
      <c r="D7" s="79" t="str">
        <f>IFERROR(IF(Master!C52="", "", Master!C52), "")</f>
        <v>Ka Po</v>
      </c>
      <c r="E7" s="79" t="str">
        <f>IFERROR(IF(Master!D52="", "", Master!D52), "")</f>
        <v>Ka Po</v>
      </c>
      <c r="F7" s="79" t="str">
        <f>IFERROR(IF(Master!E52="", "", Master!E52), "")</f>
        <v>Ka Po</v>
      </c>
      <c r="G7" s="79" t="str">
        <f>IFERROR(IF(Master!F52="", "", Master!F52), "")</f>
        <v>Ka Po</v>
      </c>
      <c r="H7" s="79" t="str">
        <f>IFERROR(IF(Master!G52="", "", Master!G52), "")</f>
        <v>Katrina</v>
      </c>
      <c r="I7" s="79" t="str">
        <f>IFERROR(IF(Master!H52="", "", Master!H52), "")</f>
        <v>Katrina</v>
      </c>
      <c r="J7" s="79" t="str">
        <f>IFERROR(IF(Master!I52="", "", Master!I52), "")</f>
        <v>Katrina</v>
      </c>
      <c r="K7" s="79" t="str">
        <f>IFERROR(IF(Master!J52="", "", Master!J52), "")</f>
        <v>Katrina</v>
      </c>
      <c r="L7" s="79" t="str">
        <f>IFERROR(IF(Master!K52="", "", Master!K52), "")</f>
        <v>Katrina</v>
      </c>
      <c r="M7" s="79" t="str">
        <f>IFERROR(IF(Master!L52="", "", Master!L52), "")</f>
        <v>Katrina</v>
      </c>
      <c r="N7" s="79" t="str">
        <f>IFERROR(IF(Master!M52="", "", Master!M52), "")</f>
        <v>Katrina</v>
      </c>
      <c r="O7" s="79" t="str">
        <f>IFERROR(IF(Master!N52="", "", Master!N52), "")</f>
        <v>Katrina</v>
      </c>
      <c r="P7" s="79" t="str">
        <f>IFERROR(IF(Master!O52="", "", Master!O52), "")</f>
        <v>Katrina</v>
      </c>
      <c r="Q7" s="79" t="str">
        <f>IFERROR(IF(Master!P52="", "", Master!P52), "")</f>
        <v>Melody</v>
      </c>
      <c r="R7" s="79" t="str">
        <f>IFERROR(IF(Master!Q52="", "", Master!Q52), "")</f>
        <v>Melody</v>
      </c>
      <c r="S7" s="79" t="str">
        <f>IFERROR(IF(Master!R52="", "", Master!R52), "")</f>
        <v>Melody</v>
      </c>
      <c r="T7" s="79" t="str">
        <f>IFERROR(IF(Master!S52="", "", Master!S52), "")</f>
        <v>Melody</v>
      </c>
      <c r="U7" s="79" t="str">
        <f>IFERROR(IF(Master!T52="", "", Master!T52), "")</f>
        <v>Melody</v>
      </c>
      <c r="V7" s="79" t="str">
        <f>IFERROR(IF(Master!U52="", "", Master!U52), "")</f>
        <v>Melody</v>
      </c>
      <c r="W7" s="79" t="str">
        <f>IFERROR(IF(Master!V52="", "", Master!V52), "")</f>
        <v>Melody</v>
      </c>
      <c r="X7" s="79" t="str">
        <f>IFERROR(IF(Master!W52="", "", Master!W52), "")</f>
        <v>Katrina</v>
      </c>
      <c r="Y7" s="79" t="str">
        <f>IFERROR(IF(Master!X52="", "", Master!X52), "")</f>
        <v>Katrina</v>
      </c>
      <c r="Z7" s="79" t="str">
        <f>IFERROR(IF(Master!Y52="", "", Master!Y52), "")</f>
        <v>Katrina</v>
      </c>
      <c r="AA7" s="79" t="str">
        <f>IFERROR(IF(Master!Z52="", "", Master!Z52), "")</f>
        <v>Katrina</v>
      </c>
      <c r="AB7" s="79" t="str">
        <f>IFERROR(IF(Master!AA52="", "", Master!AA52), "")</f>
        <v>Katrina</v>
      </c>
      <c r="AC7" s="79" t="str">
        <f>IFERROR(IF(Master!AB52="", "", Master!AB52), "")</f>
        <v>Katrina</v>
      </c>
      <c r="AD7" s="79" t="str">
        <f>IFERROR(IF(Master!AC52="", "", Master!AC52), "")</f>
        <v>Katrina</v>
      </c>
      <c r="AE7" s="79" t="str">
        <f>IFERROR(IF(Master!AD52="", "", Master!AD52), "")</f>
        <v>A Lam</v>
      </c>
      <c r="AF7" s="79" t="str">
        <f>IFERROR(IF(Master!AE52="", "", Master!AE52), "")</f>
        <v>A Lam</v>
      </c>
    </row>
    <row r="8" spans="1:42">
      <c r="C8" s="79" t="str">
        <f>IFERROR(IF(Master!B53="", "", Master!B53), "")</f>
        <v/>
      </c>
      <c r="D8" s="79" t="str">
        <f>IFERROR(IF(Master!C53="", "", Master!C53), "")</f>
        <v/>
      </c>
      <c r="E8" s="79" t="str">
        <f>IFERROR(IF(Master!D53="", "", Master!D53), "")</f>
        <v/>
      </c>
      <c r="F8" s="79" t="str">
        <f>IFERROR(IF(Master!E53="", "", Master!E53), "")</f>
        <v/>
      </c>
      <c r="G8" s="79" t="str">
        <f>IFERROR(IF(Master!F53="", "", Master!F53), "")</f>
        <v/>
      </c>
      <c r="H8" s="79" t="str">
        <f>IFERROR(IF(Master!G53="", "", Master!G53), "")</f>
        <v/>
      </c>
      <c r="I8" s="79" t="str">
        <f>IFERROR(IF(Master!H53="", "", Master!H53), "")</f>
        <v/>
      </c>
      <c r="J8" s="79" t="str">
        <f>IFERROR(IF(Master!I53="", "", Master!I53), "")</f>
        <v/>
      </c>
      <c r="K8" s="79" t="str">
        <f>IFERROR(IF(Master!J53="", "", Master!J53), "")</f>
        <v/>
      </c>
      <c r="L8" s="79" t="str">
        <f>IFERROR(IF(Master!K53="", "", Master!K53), "")</f>
        <v/>
      </c>
      <c r="M8" s="79" t="str">
        <f>IFERROR(IF(Master!L53="", "", Master!L53), "")</f>
        <v/>
      </c>
      <c r="N8" s="79" t="str">
        <f>IFERROR(IF(Master!M53="", "", Master!M53), "")</f>
        <v/>
      </c>
      <c r="O8" s="79" t="str">
        <f>IFERROR(IF(Master!N53="", "", Master!N53), "")</f>
        <v/>
      </c>
      <c r="P8" s="79" t="str">
        <f>IFERROR(IF(Master!O53="", "", Master!O53), "")</f>
        <v/>
      </c>
      <c r="Q8" s="79" t="str">
        <f>IFERROR(IF(Master!P53="", "", Master!P53), "")</f>
        <v/>
      </c>
      <c r="R8" s="79" t="str">
        <f>IFERROR(IF(Master!Q53="", "", Master!Q53), "")</f>
        <v/>
      </c>
      <c r="S8" s="79" t="str">
        <f>IFERROR(IF(Master!R53="", "", Master!R53), "")</f>
        <v/>
      </c>
      <c r="T8" s="79" t="str">
        <f>IFERROR(IF(Master!S53="", "", Master!S53), "")</f>
        <v/>
      </c>
      <c r="U8" s="79" t="str">
        <f>IFERROR(IF(Master!T53="", "", Master!T53), "")</f>
        <v/>
      </c>
      <c r="V8" s="79" t="str">
        <f>IFERROR(IF(Master!U53="", "", Master!U53), "")</f>
        <v/>
      </c>
      <c r="W8" s="79" t="str">
        <f>IFERROR(IF(Master!V53="", "", Master!V53), "")</f>
        <v/>
      </c>
      <c r="X8" s="79" t="str">
        <f>IFERROR(IF(Master!W53="", "", Master!W53), "")</f>
        <v/>
      </c>
      <c r="Y8" s="79" t="str">
        <f>IFERROR(IF(Master!X53="", "", Master!X53), "")</f>
        <v/>
      </c>
      <c r="Z8" s="79" t="str">
        <f>IFERROR(IF(Master!Y53="", "", Master!Y53), "")</f>
        <v/>
      </c>
      <c r="AA8" s="79" t="str">
        <f>IFERROR(IF(Master!Z53="", "", Master!Z53), "")</f>
        <v/>
      </c>
      <c r="AB8" s="79" t="str">
        <f>IFERROR(IF(Master!AA53="", "", Master!AA53), "")</f>
        <v/>
      </c>
      <c r="AC8" s="79" t="str">
        <f>IFERROR(IF(Master!AB53="", "", Master!AB53), "")</f>
        <v/>
      </c>
      <c r="AD8" s="79" t="str">
        <f>IFERROR(IF(Master!AC53="", "", Master!AC53), "")</f>
        <v/>
      </c>
      <c r="AE8" s="79" t="str">
        <f>IFERROR(IF(Master!AD53="", "", Master!AD53), "")</f>
        <v/>
      </c>
      <c r="AF8" s="79" t="str">
        <f>IFERROR(IF(Master!AE53="", "", Master!AE53), "")</f>
        <v/>
      </c>
    </row>
    <row r="9" spans="1:42">
      <c r="C9" s="79" t="str">
        <f>IFERROR(IF(Master!B54="", "", Master!B54), "")</f>
        <v>Amy</v>
      </c>
      <c r="D9" s="79" t="str">
        <f>IFERROR(IF(Master!C54="", "", Master!C54), "")</f>
        <v>Amy</v>
      </c>
      <c r="E9" s="79" t="str">
        <f>IFERROR(IF(Master!D54="", "", Master!D54), "")</f>
        <v>Amy</v>
      </c>
      <c r="F9" s="79" t="str">
        <f>IFERROR(IF(Master!E54="", "", Master!E54), "")</f>
        <v/>
      </c>
      <c r="G9" s="79" t="str">
        <f>IFERROR(IF(Master!F54="", "", Master!F54), "")</f>
        <v/>
      </c>
      <c r="H9" s="79" t="str">
        <f>IFERROR(IF(Master!G54="", "", Master!G54), "")</f>
        <v/>
      </c>
      <c r="I9" s="79" t="str">
        <f>IFERROR(IF(Master!H54="", "", Master!H54), "")</f>
        <v/>
      </c>
      <c r="J9" s="79" t="str">
        <f>IFERROR(IF(Master!I54="", "", Master!I54), "")</f>
        <v>Ka Po</v>
      </c>
      <c r="K9" s="79" t="str">
        <f>IFERROR(IF(Master!J54="", "", Master!J54), "")</f>
        <v>Ka Po</v>
      </c>
      <c r="L9" s="79" t="str">
        <f>IFERROR(IF(Master!K54="", "", Master!K54), "")</f>
        <v>Ka Po</v>
      </c>
      <c r="M9" s="79" t="str">
        <f>IFERROR(IF(Master!L54="", "", Master!L54), "")</f>
        <v>Ka Po</v>
      </c>
      <c r="N9" s="79" t="str">
        <f>IFERROR(IF(Master!M54="", "", Master!M54), "")</f>
        <v>Ka Po</v>
      </c>
      <c r="O9" s="79" t="str">
        <f>IFERROR(IF(Master!N54="", "", Master!N54), "")</f>
        <v>Ka Po</v>
      </c>
      <c r="P9" s="79" t="str">
        <f>IFERROR(IF(Master!O54="", "", Master!O54), "")</f>
        <v>Ka Po</v>
      </c>
      <c r="Q9" s="79" t="str">
        <f>IFERROR(IF(Master!P54="", "", Master!P54), "")</f>
        <v/>
      </c>
      <c r="R9" s="79" t="str">
        <f>IFERROR(IF(Master!Q54="", "", Master!Q54), "")</f>
        <v/>
      </c>
      <c r="S9" s="79" t="str">
        <f>IFERROR(IF(Master!R54="", "", Master!R54), "")</f>
        <v/>
      </c>
      <c r="T9" s="79" t="str">
        <f>IFERROR(IF(Master!S54="", "", Master!S54), "")</f>
        <v/>
      </c>
      <c r="U9" s="79" t="str">
        <f>IFERROR(IF(Master!T54="", "", Master!T54), "")</f>
        <v/>
      </c>
      <c r="V9" s="79" t="str">
        <f>IFERROR(IF(Master!U54="", "", Master!U54), "")</f>
        <v/>
      </c>
      <c r="W9" s="79" t="str">
        <f>IFERROR(IF(Master!V54="", "", Master!V54), "")</f>
        <v/>
      </c>
      <c r="X9" s="79" t="str">
        <f>IFERROR(IF(Master!W54="", "", Master!W54), "")</f>
        <v>Ivy</v>
      </c>
      <c r="Y9" s="79" t="str">
        <f>IFERROR(IF(Master!X54="", "", Master!X54), "")</f>
        <v>Ivy</v>
      </c>
      <c r="Z9" s="79" t="str">
        <f>IFERROR(IF(Master!Y54="", "", Master!Y54), "")</f>
        <v>Ivy</v>
      </c>
      <c r="AA9" s="79" t="str">
        <f>IFERROR(IF(Master!Z54="", "", Master!Z54), "")</f>
        <v>Ivy</v>
      </c>
      <c r="AB9" s="79" t="str">
        <f>IFERROR(IF(Master!AA54="", "", Master!AA54), "")</f>
        <v>Ivy</v>
      </c>
      <c r="AC9" s="79" t="str">
        <f>IFERROR(IF(Master!AB54="", "", Master!AB54), "")</f>
        <v>Ivy</v>
      </c>
      <c r="AD9" s="79" t="str">
        <f>IFERROR(IF(Master!AC54="", "", Master!AC54), "")</f>
        <v>Ivy</v>
      </c>
      <c r="AE9" s="79" t="str">
        <f>IFERROR(IF(Master!AD54="", "", Master!AD54), "")</f>
        <v>Ivy</v>
      </c>
      <c r="AF9" s="79" t="str">
        <f>IFERROR(IF(Master!AE54="", "", Master!AE54), "")</f>
        <v>Ivy</v>
      </c>
      <c r="AG9" s="1"/>
    </row>
    <row r="10" spans="1:42">
      <c r="C10" s="79" t="str">
        <f>IFERROR(IF(Master!B55="", "", Master!B55), "")</f>
        <v/>
      </c>
      <c r="D10" s="79" t="str">
        <f>IFERROR(IF(Master!C55="", "", Master!C55), "")</f>
        <v/>
      </c>
      <c r="E10" s="79" t="str">
        <f>IFERROR(IF(Master!D55="", "", Master!D55), "")</f>
        <v/>
      </c>
      <c r="F10" s="79" t="str">
        <f>IFERROR(IF(Master!E55="", "", Master!E55), "")</f>
        <v/>
      </c>
      <c r="G10" s="79" t="str">
        <f>IFERROR(IF(Master!F55="", "", Master!F55), "")</f>
        <v/>
      </c>
      <c r="H10" s="79" t="str">
        <f>IFERROR(IF(Master!G55="", "", Master!G55), "")</f>
        <v/>
      </c>
      <c r="I10" s="79" t="str">
        <f>IFERROR(IF(Master!H55="", "", Master!H55), "")</f>
        <v/>
      </c>
      <c r="J10" s="79" t="str">
        <f>IFERROR(IF(Master!I55="", "", Master!I55), "")</f>
        <v/>
      </c>
      <c r="K10" s="79" t="str">
        <f>IFERROR(IF(Master!J55="", "", Master!J55), "")</f>
        <v/>
      </c>
      <c r="L10" s="79" t="str">
        <f>IFERROR(IF(Master!K55="", "", Master!K55), "")</f>
        <v/>
      </c>
      <c r="M10" s="79" t="str">
        <f>IFERROR(IF(Master!L55="", "", Master!L55), "")</f>
        <v/>
      </c>
      <c r="N10" s="79" t="str">
        <f>IFERROR(IF(Master!M55="", "", Master!M55), "")</f>
        <v/>
      </c>
      <c r="O10" s="79" t="str">
        <f>IFERROR(IF(Master!N55="", "", Master!N55), "")</f>
        <v/>
      </c>
      <c r="P10" s="79" t="str">
        <f>IFERROR(IF(Master!O55="", "", Master!O55), "")</f>
        <v/>
      </c>
      <c r="Q10" s="79" t="str">
        <f>IFERROR(IF(Master!P55="", "", Master!P55), "")</f>
        <v/>
      </c>
      <c r="R10" s="79" t="str">
        <f>IFERROR(IF(Master!Q55="", "", Master!Q55), "")</f>
        <v/>
      </c>
      <c r="S10" s="79" t="str">
        <f>IFERROR(IF(Master!R55="", "", Master!R55), "")</f>
        <v/>
      </c>
      <c r="T10" s="79" t="str">
        <f>IFERROR(IF(Master!S55="", "", Master!S55), "")</f>
        <v/>
      </c>
      <c r="U10" s="79" t="str">
        <f>IFERROR(IF(Master!T55="", "", Master!T55), "")</f>
        <v/>
      </c>
      <c r="V10" s="79" t="str">
        <f>IFERROR(IF(Master!U55="", "", Master!U55), "")</f>
        <v/>
      </c>
      <c r="W10" s="79" t="str">
        <f>IFERROR(IF(Master!V55="", "", Master!V55), "")</f>
        <v/>
      </c>
      <c r="X10" s="79" t="str">
        <f>IFERROR(IF(Master!W55="", "", Master!W55), "")</f>
        <v/>
      </c>
      <c r="Y10" s="79" t="str">
        <f>IFERROR(IF(Master!X55="", "", Master!X55), "")</f>
        <v/>
      </c>
      <c r="Z10" s="79" t="str">
        <f>IFERROR(IF(Master!Y55="", "", Master!Y55), "")</f>
        <v/>
      </c>
      <c r="AA10" s="79" t="str">
        <f>IFERROR(IF(Master!Z55="", "", Master!Z55), "")</f>
        <v/>
      </c>
      <c r="AB10" s="79" t="str">
        <f>IFERROR(IF(Master!AA55="", "", Master!AA55), "")</f>
        <v/>
      </c>
      <c r="AC10" s="79" t="str">
        <f>IFERROR(IF(Master!AB55="", "", Master!AB55), "")</f>
        <v/>
      </c>
      <c r="AD10" s="79" t="str">
        <f>IFERROR(IF(Master!AC55="", "", Master!AC55), "")</f>
        <v/>
      </c>
      <c r="AE10" s="79" t="str">
        <f>IFERROR(IF(Master!AD55="", "", Master!AD55), "")</f>
        <v/>
      </c>
      <c r="AF10" s="79" t="str">
        <f>IFERROR(IF(Master!AE55="", "", Master!AE55),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F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23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24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25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26</v>
      </c>
      <c r="AD13" s="12">
        <f t="shared" si="1"/>
        <v>0</v>
      </c>
      <c r="AE13" s="12">
        <f t="shared" si="1"/>
        <v>0</v>
      </c>
      <c r="AF13" s="56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F16" si="2">C3</f>
        <v>46174</v>
      </c>
      <c r="D16" s="72">
        <f t="shared" si="2"/>
        <v>46175</v>
      </c>
      <c r="E16" s="72">
        <f t="shared" si="2"/>
        <v>46176</v>
      </c>
      <c r="F16" s="72">
        <f t="shared" si="2"/>
        <v>46177</v>
      </c>
      <c r="G16" s="72">
        <f t="shared" si="2"/>
        <v>46178</v>
      </c>
      <c r="H16" s="72">
        <f t="shared" si="2"/>
        <v>46179</v>
      </c>
      <c r="I16" s="72">
        <f t="shared" si="2"/>
        <v>46180</v>
      </c>
      <c r="J16" s="72">
        <f t="shared" si="2"/>
        <v>46181</v>
      </c>
      <c r="K16" s="72">
        <f t="shared" si="2"/>
        <v>46182</v>
      </c>
      <c r="L16" s="72">
        <f t="shared" si="2"/>
        <v>46183</v>
      </c>
      <c r="M16" s="72">
        <f t="shared" si="2"/>
        <v>46184</v>
      </c>
      <c r="N16" s="72">
        <f t="shared" si="2"/>
        <v>46185</v>
      </c>
      <c r="O16" s="72">
        <f t="shared" si="2"/>
        <v>46186</v>
      </c>
      <c r="P16" s="72">
        <f t="shared" si="2"/>
        <v>46187</v>
      </c>
      <c r="Q16" s="72">
        <f t="shared" si="2"/>
        <v>46188</v>
      </c>
      <c r="R16" s="72">
        <f t="shared" si="2"/>
        <v>46189</v>
      </c>
      <c r="S16" s="72">
        <f t="shared" si="2"/>
        <v>46190</v>
      </c>
      <c r="T16" s="72">
        <f t="shared" si="2"/>
        <v>46191</v>
      </c>
      <c r="U16" s="72">
        <f t="shared" si="2"/>
        <v>46192</v>
      </c>
      <c r="V16" s="72">
        <f t="shared" si="2"/>
        <v>46193</v>
      </c>
      <c r="W16" s="72">
        <f t="shared" si="2"/>
        <v>46194</v>
      </c>
      <c r="X16" s="72">
        <f t="shared" si="2"/>
        <v>46195</v>
      </c>
      <c r="Y16" s="72">
        <f t="shared" si="2"/>
        <v>46196</v>
      </c>
      <c r="Z16" s="72">
        <f t="shared" si="2"/>
        <v>46197</v>
      </c>
      <c r="AA16" s="72">
        <f t="shared" si="2"/>
        <v>46198</v>
      </c>
      <c r="AB16" s="72">
        <f t="shared" si="2"/>
        <v>46199</v>
      </c>
      <c r="AC16" s="72">
        <f t="shared" si="2"/>
        <v>46200</v>
      </c>
      <c r="AD16" s="72">
        <f t="shared" si="2"/>
        <v>46201</v>
      </c>
      <c r="AE16" s="72">
        <f t="shared" si="2"/>
        <v>46202</v>
      </c>
      <c r="AF16" s="72">
        <f t="shared" si="2"/>
        <v>46203</v>
      </c>
      <c r="AG16" s="52"/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Mon</v>
      </c>
      <c r="D17" s="39" t="str">
        <f t="shared" ref="D17:AF17" si="3">TEXT(D16,"ddd")</f>
        <v>Tue</v>
      </c>
      <c r="E17" s="39" t="str">
        <f t="shared" si="3"/>
        <v>Wed</v>
      </c>
      <c r="F17" s="39" t="str">
        <f t="shared" si="3"/>
        <v>Thu</v>
      </c>
      <c r="G17" s="39" t="str">
        <f t="shared" si="3"/>
        <v>Fri</v>
      </c>
      <c r="H17" s="39" t="str">
        <f t="shared" si="3"/>
        <v>Sat</v>
      </c>
      <c r="I17" s="39" t="str">
        <f t="shared" si="3"/>
        <v>Sun</v>
      </c>
      <c r="J17" s="39" t="str">
        <f t="shared" si="3"/>
        <v>Mon</v>
      </c>
      <c r="K17" s="39" t="str">
        <f t="shared" si="3"/>
        <v>Tue</v>
      </c>
      <c r="L17" s="39" t="str">
        <f t="shared" si="3"/>
        <v>Wed</v>
      </c>
      <c r="M17" s="39" t="str">
        <f t="shared" si="3"/>
        <v>Thu</v>
      </c>
      <c r="N17" s="39" t="str">
        <f t="shared" si="3"/>
        <v>Fri</v>
      </c>
      <c r="O17" s="39" t="str">
        <f t="shared" si="3"/>
        <v>Sat</v>
      </c>
      <c r="P17" s="39" t="str">
        <f t="shared" si="3"/>
        <v>Sun</v>
      </c>
      <c r="Q17" s="39" t="str">
        <f t="shared" si="3"/>
        <v>Mon</v>
      </c>
      <c r="R17" s="39" t="str">
        <f t="shared" si="3"/>
        <v>Tue</v>
      </c>
      <c r="S17" s="39" t="str">
        <f t="shared" si="3"/>
        <v>Wed</v>
      </c>
      <c r="T17" s="39" t="str">
        <f t="shared" si="3"/>
        <v>Thu</v>
      </c>
      <c r="U17" s="39" t="str">
        <f t="shared" si="3"/>
        <v>Fri</v>
      </c>
      <c r="V17" s="39" t="str">
        <f t="shared" si="3"/>
        <v>Sat</v>
      </c>
      <c r="W17" s="39" t="str">
        <f t="shared" si="3"/>
        <v>Sun</v>
      </c>
      <c r="X17" s="39" t="str">
        <f t="shared" si="3"/>
        <v>Mon</v>
      </c>
      <c r="Y17" s="39" t="str">
        <f t="shared" si="3"/>
        <v>Tue</v>
      </c>
      <c r="Z17" s="39" t="str">
        <f t="shared" si="3"/>
        <v>Wed</v>
      </c>
      <c r="AA17" s="39" t="str">
        <f t="shared" si="3"/>
        <v>Thu</v>
      </c>
      <c r="AB17" s="39" t="str">
        <f t="shared" si="3"/>
        <v>Fri</v>
      </c>
      <c r="AC17" s="39" t="str">
        <f t="shared" si="3"/>
        <v>Sat</v>
      </c>
      <c r="AD17" s="39" t="str">
        <f t="shared" si="3"/>
        <v>Sun</v>
      </c>
      <c r="AE17" s="50" t="str">
        <f t="shared" si="3"/>
        <v>Mon</v>
      </c>
      <c r="AF17" s="55" t="str">
        <f t="shared" si="3"/>
        <v>Tue</v>
      </c>
      <c r="AG17" s="25"/>
      <c r="AK17" s="85"/>
      <c r="AL17" s="85"/>
      <c r="AM17" s="85"/>
      <c r="AN17" s="83"/>
      <c r="AO17" s="83"/>
      <c r="AP17" s="83"/>
    </row>
    <row r="18" spans="1:42" ht="24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HD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DO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HD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DO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PH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HD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DO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HD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DO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53"/>
      <c r="AK18" s="11" t="s">
        <v>118</v>
      </c>
      <c r="AL18" s="65">
        <f>SUMPRODUCT((B18:AF18="D")*8) + SUMPRODUCT((B18:AF18="E")*8) + SUMPRODUCT((B18:AF18="HD")*4)</f>
        <v>184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184</v>
      </c>
      <c r="AO18" s="67">
        <f>AN18-$AN$18</f>
        <v>0</v>
      </c>
      <c r="AP18" s="67">
        <f>AO18+May!AP18</f>
        <v>0</v>
      </c>
    </row>
    <row r="19" spans="1:42" ht="24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DO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DO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DO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PH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DO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DO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AL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AL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AL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AL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AL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DO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DO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AL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AL</v>
      </c>
      <c r="AG19" s="53"/>
      <c r="AK19" s="11" t="s">
        <v>21</v>
      </c>
      <c r="AL19" s="65">
        <f t="shared" ref="AL19:AL26" si="4">SUMPRODUCT((B19:AF19="D")*8) + SUMPRODUCT((B19:AF19="E")*8) + SUMPRODUCT((B19:AF19="HD")*4)</f>
        <v>120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56</v>
      </c>
      <c r="AN19" s="68">
        <f t="shared" ref="AN19:AN31" si="5">AL19+AM19</f>
        <v>176</v>
      </c>
      <c r="AO19" s="67">
        <f t="shared" ref="AO19:AO31" si="6">AN19-$AN$18</f>
        <v>-8</v>
      </c>
      <c r="AP19" s="67">
        <f>AO19+May!AP19</f>
        <v>-4</v>
      </c>
    </row>
    <row r="20" spans="1:42" ht="24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HD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DO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HD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DO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PH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HD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DO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HD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DO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53"/>
      <c r="AK20" s="11" t="s">
        <v>119</v>
      </c>
      <c r="AL20" s="65">
        <f t="shared" si="4"/>
        <v>184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184</v>
      </c>
      <c r="AO20" s="67">
        <f t="shared" si="6"/>
        <v>0</v>
      </c>
      <c r="AP20" s="67">
        <f>AO20+May!AP20</f>
        <v>0</v>
      </c>
    </row>
    <row r="21" spans="1:42" ht="24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DO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DO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DO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DO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PH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DO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DO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E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E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DO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E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E</v>
      </c>
      <c r="AG21" s="53"/>
      <c r="AK21" s="11" t="s">
        <v>24</v>
      </c>
      <c r="AL21" s="65">
        <f t="shared" si="4"/>
        <v>176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176</v>
      </c>
      <c r="AO21" s="67">
        <f t="shared" si="6"/>
        <v>-8</v>
      </c>
      <c r="AP21" s="67">
        <f>AO21+May!AP21</f>
        <v>-12</v>
      </c>
    </row>
    <row r="22" spans="1:42" ht="24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AL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AL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AL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DO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DO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E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E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E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D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DO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E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E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PH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DO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D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DO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DO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D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D</v>
      </c>
      <c r="AG22" s="53"/>
      <c r="AK22" s="11" t="s">
        <v>22</v>
      </c>
      <c r="AL22" s="65">
        <f t="shared" si="4"/>
        <v>160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24</v>
      </c>
      <c r="AN22" s="68">
        <f t="shared" si="5"/>
        <v>184</v>
      </c>
      <c r="AO22" s="67">
        <f t="shared" si="6"/>
        <v>0</v>
      </c>
      <c r="AP22" s="67">
        <f>AO22+May!AP22</f>
        <v>4</v>
      </c>
    </row>
    <row r="23" spans="1:42" ht="24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E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E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DO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E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E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E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E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E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DO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PH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DO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DO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E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E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E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DO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E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E</v>
      </c>
      <c r="AG23" s="53"/>
      <c r="AK23" s="11" t="s">
        <v>23</v>
      </c>
      <c r="AL23" s="65">
        <f t="shared" si="4"/>
        <v>192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192</v>
      </c>
      <c r="AO23" s="67">
        <f t="shared" si="6"/>
        <v>8</v>
      </c>
      <c r="AP23" s="67">
        <f>AO23+May!AP23</f>
        <v>4</v>
      </c>
    </row>
    <row r="24" spans="1:42" ht="24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E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E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E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E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E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DO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DO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AL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AL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AL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AL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AL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DO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DO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E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E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PH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DO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D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DO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DO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53"/>
      <c r="AK24" s="11" t="s">
        <v>25</v>
      </c>
      <c r="AL24" s="65">
        <f t="shared" si="4"/>
        <v>136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40</v>
      </c>
      <c r="AN24" s="68">
        <f t="shared" si="5"/>
        <v>176</v>
      </c>
      <c r="AO24" s="67">
        <f t="shared" si="6"/>
        <v>-8</v>
      </c>
      <c r="AP24" s="67">
        <f>AO24+May!AP24</f>
        <v>-4</v>
      </c>
    </row>
    <row r="25" spans="1:42" ht="24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E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E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E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E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E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DO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DO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DO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E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E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E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PH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DO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DO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DO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</v>
      </c>
      <c r="AG25" s="53"/>
      <c r="AK25" s="11" t="s">
        <v>27</v>
      </c>
      <c r="AL25" s="65">
        <f t="shared" si="4"/>
        <v>184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184</v>
      </c>
      <c r="AO25" s="67">
        <f t="shared" si="6"/>
        <v>0</v>
      </c>
      <c r="AP25" s="67">
        <f>AO25+May!AP25</f>
        <v>-4</v>
      </c>
    </row>
    <row r="26" spans="1:42" ht="24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DO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E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E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E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E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E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D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DO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D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PH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DO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DO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E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E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E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E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E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DO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53"/>
      <c r="AK26" s="11" t="s">
        <v>26</v>
      </c>
      <c r="AL26" s="65">
        <f t="shared" si="4"/>
        <v>192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192</v>
      </c>
      <c r="AO26" s="67">
        <f t="shared" si="6"/>
        <v>8</v>
      </c>
      <c r="AP26" s="67">
        <f>AO26+May!AP26</f>
        <v>12</v>
      </c>
    </row>
    <row r="27" spans="1:42" ht="24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B6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HD2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DO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DO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DO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PH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HD2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DO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DO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DO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53"/>
      <c r="AK27" s="11"/>
      <c r="AL27" s="65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AO27+May!AP27</f>
        <v>0</v>
      </c>
    </row>
    <row r="28" spans="1:42" ht="24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D1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DO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DO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HD2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DO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PH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DO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DO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HD2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DO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53"/>
      <c r="AK28" s="11"/>
      <c r="AL28" s="65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AO28+May!AP28</f>
        <v>0</v>
      </c>
    </row>
    <row r="29" spans="1:42" ht="24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53"/>
      <c r="AK29" s="11"/>
      <c r="AL29" s="65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AO29+May!AP29</f>
        <v>0</v>
      </c>
    </row>
    <row r="30" spans="1:42" ht="24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53"/>
      <c r="AK30" s="11"/>
      <c r="AL30" s="65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AO30+May!AP30</f>
        <v>0</v>
      </c>
    </row>
    <row r="31" spans="1:42" ht="24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HD1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DO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HD1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DO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PH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HD1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DO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HD1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DO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53"/>
      <c r="AK31" s="11" t="s">
        <v>136</v>
      </c>
      <c r="AL31" s="65">
        <f>SUMPRODUCT((B31:AF31="D")*8) + SUMPRODUCT((B31:AF31="E")*8) + SUMPRODUCT((B31:AF31="HD1")*4)</f>
        <v>184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184</v>
      </c>
      <c r="AO31" s="67">
        <f t="shared" si="6"/>
        <v>0</v>
      </c>
      <c r="AP31" s="67">
        <f>AO31+May!AP31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F3">
    <cfRule type="expression" dxfId="134" priority="45">
      <formula>B$44="sun"</formula>
    </cfRule>
    <cfRule type="expression" dxfId="131" priority="53">
      <formula>WEEKDAY(C3,2)=7</formula>
    </cfRule>
  </conditionalFormatting>
  <conditionalFormatting sqref="C4:AF10">
    <cfRule type="expression" dxfId="130" priority="18">
      <formula>C$4="Sun"</formula>
    </cfRule>
    <cfRule type="expression" dxfId="127" priority="21">
      <formula>WEEKDAY(C4,2)=7</formula>
    </cfRule>
  </conditionalFormatting>
  <conditionalFormatting sqref="C18:AF31">
    <cfRule type="expression" dxfId="125" priority="1">
      <formula>C18="HDAL"</formula>
    </cfRule>
  </conditionalFormatting>
  <conditionalFormatting sqref="C17:AG17">
    <cfRule type="expression" dxfId="123" priority="33">
      <formula>C$17="sun"</formula>
    </cfRule>
    <cfRule type="expression" dxfId="122" priority="34">
      <formula>C$17="sat"</formula>
    </cfRule>
  </conditionalFormatting>
  <conditionalFormatting sqref="C18:AG31">
    <cfRule type="expression" dxfId="121" priority="2">
      <formula>C18="PH"</formula>
    </cfRule>
    <cfRule type="expression" dxfId="120" priority="3">
      <formula>C18="AL"</formula>
    </cfRule>
    <cfRule type="expression" dxfId="118" priority="5">
      <formula>C18="DO"</formula>
    </cfRule>
  </conditionalFormatting>
  <conditionalFormatting sqref="AG9">
    <cfRule type="expression" dxfId="117" priority="27">
      <formula>AG$4="Sun"</formula>
    </cfRule>
    <cfRule type="expression" dxfId="114" priority="30">
      <formula>WEEKDAY(AG9,2)=7</formula>
    </cfRule>
  </conditionalFormatting>
  <conditionalFormatting sqref="AO18:AP31">
    <cfRule type="expression" dxfId="113" priority="6">
      <formula>AO18&gt;0</formula>
    </cfRule>
    <cfRule type="expression" dxfId="112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" id="{A7BF8ECD-D534-494F-841E-516C3AFF5D45}">
            <xm:f>AND(COUNTIF(PH!$A:$A,C3)&gt;0,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52" id="{9757D7E1-D355-46CA-9FF3-7C6D420B58BC}">
            <xm:f>COUNTIF(PH!$A:$A,C3)&gt;0</xm:f>
            <x14:dxf>
              <font>
                <color rgb="FFFF0000"/>
              </font>
            </x14:dxf>
          </x14:cfRule>
          <xm:sqref>C3:AF3</xm:sqref>
        </x14:conditionalFormatting>
        <x14:conditionalFormatting xmlns:xm="http://schemas.microsoft.com/office/excel/2006/main">
          <x14:cfRule type="expression" priority="19" id="{D40B38BF-2D8A-4B00-BE90-E6A08163EC51}">
            <xm:f>AND(COUNTIF(PH!$A:$A,C4)&gt;0, WEEKDAY(C4,2)=6)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0" id="{EBD25F01-DC48-44DC-8044-735B5AA676AC}">
            <xm:f>COUNTIF(PH!$A:$A, C4)&gt;0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C4:AF10</xm:sqref>
        </x14:conditionalFormatting>
        <x14:conditionalFormatting xmlns:xm="http://schemas.microsoft.com/office/excel/2006/main">
          <x14:cfRule type="expression" priority="22" id="{62EA6037-DADF-46FD-A02A-CDA2B9B8CFB0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C16:AF16</xm:sqref>
        </x14:conditionalFormatting>
        <x14:conditionalFormatting xmlns:xm="http://schemas.microsoft.com/office/excel/2006/main">
          <x14:cfRule type="expression" priority="23" id="{0B6F5593-B587-4798-A25E-00CEA6651660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38208B3C-E91C-44DE-B075-FF6E8C93F36C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  <x14:conditionalFormatting xmlns:xm="http://schemas.microsoft.com/office/excel/2006/main">
          <x14:cfRule type="expression" priority="28" id="{29B27C9D-1137-4F05-8C51-0E5C72ED7E54}">
            <xm:f>AND(COUNTIF(PH!$A:$A, AG9)&gt;0, WEEKDAY(AG9,2)=6)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9" id="{AB25AFDF-5869-4BFE-83C7-1AC15F351C8A}">
            <xm:f>COUNTIF(PH!$A:$A, AG9)&gt;0</xm:f>
            <x14:dxf>
              <font>
                <color rgb="FFFF0000"/>
              </font>
            </x14:dxf>
          </x14:cfRule>
          <xm:sqref>AG9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768B01-C145-46FE-9C26-CFD3106A99CC}">
          <x14:formula1>
            <xm:f>'On call stat'!$T$3:$T$21</xm:f>
          </x14:formula1>
          <xm:sqref>C3:AF3 C5:AF10</xm:sqref>
        </x14:dataValidation>
        <x14:dataValidation type="list" allowBlank="1" showInputMessage="1" showErrorMessage="1" xr:uid="{5247E452-14F1-4A06-BC0D-F2201E80711B}">
          <x14:formula1>
            <xm:f>'On call stat'!$T$3:$T$14</xm:f>
          </x14:formula1>
          <xm:sqref>AG9:AG10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7F21-5776-4770-B6C3-6FA914734626}">
  <sheetPr codeName="Sheet8"/>
  <dimension ref="A1:AP48"/>
  <sheetViews>
    <sheetView topLeftCell="A7" zoomScale="70" zoomScaleNormal="70" workbookViewId="0">
      <selection activeCell="C18" sqref="C18:AG31"/>
    </sheetView>
  </sheetViews>
  <sheetFormatPr defaultRowHeight="15"/>
  <cols>
    <col min="2" max="2" width="31.42578125" customWidth="1"/>
    <col min="36" max="36" width="9.140625" style="42"/>
    <col min="40" max="40" width="13.14062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IFERROR(IF(Master!B57="", "", Master!B57), "")</f>
        <v>46204</v>
      </c>
      <c r="D3" s="9">
        <f>IFERROR(IF(Master!C57="", "", Master!C57), "")</f>
        <v>46205</v>
      </c>
      <c r="E3" s="9">
        <f>IFERROR(IF(Master!D57="", "", Master!D57), "")</f>
        <v>46206</v>
      </c>
      <c r="F3" s="9">
        <f>IFERROR(IF(Master!E57="", "", Master!E57), "")</f>
        <v>46207</v>
      </c>
      <c r="G3" s="9">
        <f>IFERROR(IF(Master!F57="", "", Master!F57), "")</f>
        <v>46208</v>
      </c>
      <c r="H3" s="9">
        <f>IFERROR(IF(Master!G57="", "", Master!G57), "")</f>
        <v>46209</v>
      </c>
      <c r="I3" s="9">
        <f>IFERROR(IF(Master!H57="", "", Master!H57), "")</f>
        <v>46210</v>
      </c>
      <c r="J3" s="9">
        <f>IFERROR(IF(Master!I57="", "", Master!I57), "")</f>
        <v>46211</v>
      </c>
      <c r="K3" s="9">
        <f>IFERROR(IF(Master!J57="", "", Master!J57), "")</f>
        <v>46212</v>
      </c>
      <c r="L3" s="9">
        <f>IFERROR(IF(Master!K57="", "", Master!K57), "")</f>
        <v>46213</v>
      </c>
      <c r="M3" s="9">
        <f>IFERROR(IF(Master!L57="", "", Master!L57), "")</f>
        <v>46214</v>
      </c>
      <c r="N3" s="9">
        <f>IFERROR(IF(Master!M57="", "", Master!M57), "")</f>
        <v>46215</v>
      </c>
      <c r="O3" s="9">
        <f>IFERROR(IF(Master!N57="", "", Master!N57), "")</f>
        <v>46216</v>
      </c>
      <c r="P3" s="9">
        <f>IFERROR(IF(Master!O57="", "", Master!O57), "")</f>
        <v>46217</v>
      </c>
      <c r="Q3" s="9">
        <f>IFERROR(IF(Master!P57="", "", Master!P57), "")</f>
        <v>46218</v>
      </c>
      <c r="R3" s="9">
        <f>IFERROR(IF(Master!Q57="", "", Master!Q57), "")</f>
        <v>46219</v>
      </c>
      <c r="S3" s="9">
        <f>IFERROR(IF(Master!R57="", "", Master!R57), "")</f>
        <v>46220</v>
      </c>
      <c r="T3" s="9">
        <f>IFERROR(IF(Master!S57="", "", Master!S57), "")</f>
        <v>46221</v>
      </c>
      <c r="U3" s="9">
        <f>IFERROR(IF(Master!T57="", "", Master!T57), "")</f>
        <v>46222</v>
      </c>
      <c r="V3" s="9">
        <f>IFERROR(IF(Master!U57="", "", Master!U57), "")</f>
        <v>46223</v>
      </c>
      <c r="W3" s="9">
        <f>IFERROR(IF(Master!V57="", "", Master!V57), "")</f>
        <v>46224</v>
      </c>
      <c r="X3" s="9">
        <f>IFERROR(IF(Master!W57="", "", Master!W57), "")</f>
        <v>46225</v>
      </c>
      <c r="Y3" s="9">
        <f>IFERROR(IF(Master!X57="", "", Master!X57), "")</f>
        <v>46226</v>
      </c>
      <c r="Z3" s="9">
        <f>IFERROR(IF(Master!Y57="", "", Master!Y57), "")</f>
        <v>46227</v>
      </c>
      <c r="AA3" s="9">
        <f>IFERROR(IF(Master!Z57="", "", Master!Z57), "")</f>
        <v>46228</v>
      </c>
      <c r="AB3" s="9">
        <f>IFERROR(IF(Master!AA57="", "", Master!AA57), "")</f>
        <v>46229</v>
      </c>
      <c r="AC3" s="9">
        <f>IFERROR(IF(Master!AB57="", "", Master!AB57), "")</f>
        <v>46230</v>
      </c>
      <c r="AD3" s="9">
        <f>IFERROR(IF(Master!AC57="", "", Master!AC57), "")</f>
        <v>46231</v>
      </c>
      <c r="AE3" s="9">
        <f>IFERROR(IF(Master!AD57="", "", Master!AD57), "")</f>
        <v>46232</v>
      </c>
      <c r="AF3" s="9">
        <f>IFERROR(IF(Master!AE57="", "", Master!AE57), "")</f>
        <v>46233</v>
      </c>
      <c r="AG3" s="9">
        <f>IFERROR(IF(Master!AF57="", "", Master!AF57), "")</f>
        <v>46234</v>
      </c>
    </row>
    <row r="4" spans="1:42">
      <c r="C4" s="13" t="str">
        <f t="shared" ref="C4:AG4" si="0">TEXT(C3,"ddd")</f>
        <v>Wed</v>
      </c>
      <c r="D4" s="13" t="str">
        <f t="shared" si="0"/>
        <v>Thu</v>
      </c>
      <c r="E4" s="13" t="str">
        <f t="shared" si="0"/>
        <v>Fri</v>
      </c>
      <c r="F4" s="13" t="str">
        <f t="shared" si="0"/>
        <v>Sat</v>
      </c>
      <c r="G4" s="13" t="str">
        <f t="shared" si="0"/>
        <v>Sun</v>
      </c>
      <c r="H4" s="13" t="str">
        <f t="shared" si="0"/>
        <v>Mon</v>
      </c>
      <c r="I4" s="13" t="str">
        <f t="shared" si="0"/>
        <v>Tue</v>
      </c>
      <c r="J4" s="13" t="str">
        <f t="shared" si="0"/>
        <v>Wed</v>
      </c>
      <c r="K4" s="13" t="str">
        <f t="shared" si="0"/>
        <v>Thu</v>
      </c>
      <c r="L4" s="13" t="str">
        <f t="shared" si="0"/>
        <v>Fri</v>
      </c>
      <c r="M4" s="13" t="str">
        <f t="shared" si="0"/>
        <v>Sat</v>
      </c>
      <c r="N4" s="13" t="str">
        <f t="shared" si="0"/>
        <v>Sun</v>
      </c>
      <c r="O4" s="13" t="str">
        <f t="shared" si="0"/>
        <v>Mon</v>
      </c>
      <c r="P4" s="13" t="str">
        <f t="shared" si="0"/>
        <v>Tue</v>
      </c>
      <c r="Q4" s="13" t="str">
        <f t="shared" si="0"/>
        <v>Wed</v>
      </c>
      <c r="R4" s="13" t="str">
        <f t="shared" si="0"/>
        <v>Thu</v>
      </c>
      <c r="S4" s="13" t="str">
        <f t="shared" si="0"/>
        <v>Fri</v>
      </c>
      <c r="T4" s="13" t="str">
        <f t="shared" si="0"/>
        <v>Sat</v>
      </c>
      <c r="U4" s="13" t="str">
        <f t="shared" si="0"/>
        <v>Sun</v>
      </c>
      <c r="V4" s="13" t="str">
        <f t="shared" si="0"/>
        <v>Mon</v>
      </c>
      <c r="W4" s="13" t="str">
        <f t="shared" si="0"/>
        <v>Tue</v>
      </c>
      <c r="X4" s="13" t="str">
        <f t="shared" si="0"/>
        <v>Wed</v>
      </c>
      <c r="Y4" s="13" t="str">
        <f t="shared" si="0"/>
        <v>Thu</v>
      </c>
      <c r="Z4" s="13" t="str">
        <f t="shared" si="0"/>
        <v>Fri</v>
      </c>
      <c r="AA4" s="13" t="str">
        <f t="shared" si="0"/>
        <v>Sat</v>
      </c>
      <c r="AB4" s="13" t="str">
        <f t="shared" si="0"/>
        <v>Sun</v>
      </c>
      <c r="AC4" s="13" t="str">
        <f t="shared" si="0"/>
        <v>Mon</v>
      </c>
      <c r="AD4" s="13" t="str">
        <f t="shared" si="0"/>
        <v>Tue</v>
      </c>
      <c r="AE4" s="13" t="str">
        <f t="shared" si="0"/>
        <v>Wed</v>
      </c>
      <c r="AF4" s="13" t="str">
        <f t="shared" si="0"/>
        <v>Thu</v>
      </c>
      <c r="AG4" s="13" t="str">
        <f t="shared" si="0"/>
        <v>Fri</v>
      </c>
    </row>
    <row r="5" spans="1:42">
      <c r="C5" s="9" t="str">
        <f>IFERROR(IF(Master!B59="", "", Master!B59), "")</f>
        <v>Dicky</v>
      </c>
      <c r="D5" s="9" t="str">
        <f>IFERROR(IF(Master!C59="", "", Master!C59), "")</f>
        <v>Dicky</v>
      </c>
      <c r="E5" s="9" t="str">
        <f>IFERROR(IF(Master!D59="", "", Master!D59), "")</f>
        <v>Dicky</v>
      </c>
      <c r="F5" s="9" t="str">
        <f>IFERROR(IF(Master!E59="", "", Master!E59), "")</f>
        <v>Dicky</v>
      </c>
      <c r="G5" s="9" t="str">
        <f>IFERROR(IF(Master!F59="", "", Master!F59), "")</f>
        <v>Dicky</v>
      </c>
      <c r="H5" s="9" t="str">
        <f>IFERROR(IF(Master!G59="", "", Master!G59), "")</f>
        <v>Amy</v>
      </c>
      <c r="I5" s="9" t="str">
        <f>IFERROR(IF(Master!H59="", "", Master!H59), "")</f>
        <v>Amy</v>
      </c>
      <c r="J5" s="9" t="str">
        <f>IFERROR(IF(Master!I59="", "", Master!I59), "")</f>
        <v>Amy</v>
      </c>
      <c r="K5" s="9" t="str">
        <f>IFERROR(IF(Master!J59="", "", Master!J59), "")</f>
        <v>Amy</v>
      </c>
      <c r="L5" s="9" t="str">
        <f>IFERROR(IF(Master!K59="", "", Master!K59), "")</f>
        <v>Amy</v>
      </c>
      <c r="M5" s="9" t="str">
        <f>IFERROR(IF(Master!L59="", "", Master!L59), "")</f>
        <v>Amy</v>
      </c>
      <c r="N5" s="9" t="str">
        <f>IFERROR(IF(Master!M59="", "", Master!M59), "")</f>
        <v>Amy</v>
      </c>
      <c r="O5" s="9" t="str">
        <f>IFERROR(IF(Master!N59="", "", Master!N59), "")</f>
        <v>Amy</v>
      </c>
      <c r="P5" s="9" t="str">
        <f>IFERROR(IF(Master!O59="", "", Master!O59), "")</f>
        <v>Amy</v>
      </c>
      <c r="Q5" s="9" t="str">
        <f>IFERROR(IF(Master!P59="", "", Master!P59), "")</f>
        <v>Amy</v>
      </c>
      <c r="R5" s="9" t="str">
        <f>IFERROR(IF(Master!Q59="", "", Master!Q59), "")</f>
        <v>Amy</v>
      </c>
      <c r="S5" s="9" t="str">
        <f>IFERROR(IF(Master!R59="", "", Master!R59), "")</f>
        <v>Amy</v>
      </c>
      <c r="T5" s="9" t="str">
        <f>IFERROR(IF(Master!S59="", "", Master!S59), "")</f>
        <v>Amy</v>
      </c>
      <c r="U5" s="9" t="str">
        <f>IFERROR(IF(Master!T59="", "", Master!T59), "")</f>
        <v>Amy</v>
      </c>
      <c r="V5" s="9" t="str">
        <f>IFERROR(IF(Master!U59="", "", Master!U59), "")</f>
        <v>Dicky</v>
      </c>
      <c r="W5" s="9" t="str">
        <f>IFERROR(IF(Master!V59="", "", Master!V59), "")</f>
        <v>Dicky</v>
      </c>
      <c r="X5" s="9" t="str">
        <f>IFERROR(IF(Master!W59="", "", Master!W59), "")</f>
        <v>Dicky</v>
      </c>
      <c r="Y5" s="9" t="str">
        <f>IFERROR(IF(Master!X59="", "", Master!X59), "")</f>
        <v>Dicky</v>
      </c>
      <c r="Z5" s="9" t="str">
        <f>IFERROR(IF(Master!Y59="", "", Master!Y59), "")</f>
        <v>Dicky</v>
      </c>
      <c r="AA5" s="9" t="str">
        <f>IFERROR(IF(Master!Z59="", "", Master!Z59), "")</f>
        <v>Dicky</v>
      </c>
      <c r="AB5" s="9" t="str">
        <f>IFERROR(IF(Master!AA59="", "", Master!AA59), "")</f>
        <v>Dicky</v>
      </c>
      <c r="AC5" s="9" t="str">
        <f>IFERROR(IF(Master!AB59="", "", Master!AB59), "")</f>
        <v>Dicky</v>
      </c>
      <c r="AD5" s="9" t="str">
        <f>IFERROR(IF(Master!AC59="", "", Master!AC59), "")</f>
        <v>Dicky</v>
      </c>
      <c r="AE5" s="9" t="str">
        <f>IFERROR(IF(Master!AD59="", "", Master!AD59), "")</f>
        <v>Dicky</v>
      </c>
      <c r="AF5" s="9" t="str">
        <f>IFERROR(IF(Master!AE59="", "", Master!AE59), "")</f>
        <v>Dicky</v>
      </c>
      <c r="AG5" s="9" t="str">
        <f>IFERROR(IF(Master!AF59="", "", Master!AF59), "")</f>
        <v>Dicky</v>
      </c>
    </row>
    <row r="6" spans="1:42">
      <c r="C6" s="9" t="str">
        <f>IFERROR(IF(Master!B60="", "", Master!B60), "")</f>
        <v>Ka Po</v>
      </c>
      <c r="D6" s="9" t="str">
        <f>IFERROR(IF(Master!C60="", "", Master!C60), "")</f>
        <v>Ka Po</v>
      </c>
      <c r="E6" s="9" t="str">
        <f>IFERROR(IF(Master!D60="", "", Master!D60), "")</f>
        <v>Ka Po</v>
      </c>
      <c r="F6" s="9" t="str">
        <f>IFERROR(IF(Master!E60="", "", Master!E60), "")</f>
        <v>Ka Po</v>
      </c>
      <c r="G6" s="9" t="str">
        <f>IFERROR(IF(Master!F60="", "", Master!F60), "")</f>
        <v>Ka Po</v>
      </c>
      <c r="H6" s="9" t="str">
        <f>IFERROR(IF(Master!G60="", "", Master!G60), "")</f>
        <v>Melody</v>
      </c>
      <c r="I6" s="9" t="str">
        <f>IFERROR(IF(Master!H60="", "", Master!H60), "")</f>
        <v>Melody</v>
      </c>
      <c r="J6" s="9" t="str">
        <f>IFERROR(IF(Master!I60="", "", Master!I60), "")</f>
        <v>Melody</v>
      </c>
      <c r="K6" s="9" t="str">
        <f>IFERROR(IF(Master!J60="", "", Master!J60), "")</f>
        <v>Melody</v>
      </c>
      <c r="L6" s="9" t="str">
        <f>IFERROR(IF(Master!K60="", "", Master!K60), "")</f>
        <v>Melody</v>
      </c>
      <c r="M6" s="9" t="str">
        <f>IFERROR(IF(Master!L60="", "", Master!L60), "")</f>
        <v>Melody</v>
      </c>
      <c r="N6" s="9" t="str">
        <f>IFERROR(IF(Master!M60="", "", Master!M60), "")</f>
        <v>Melody</v>
      </c>
      <c r="O6" s="9" t="str">
        <f>IFERROR(IF(Master!N60="", "", Master!N60), "")</f>
        <v>Ka Po</v>
      </c>
      <c r="P6" s="9" t="str">
        <f>IFERROR(IF(Master!O60="", "", Master!O60), "")</f>
        <v>Ka Po</v>
      </c>
      <c r="Q6" s="9" t="str">
        <f>IFERROR(IF(Master!P60="", "", Master!P60), "")</f>
        <v>Ka Po</v>
      </c>
      <c r="R6" s="9" t="str">
        <f>IFERROR(IF(Master!Q60="", "", Master!Q60), "")</f>
        <v>Ka Po</v>
      </c>
      <c r="S6" s="9" t="str">
        <f>IFERROR(IF(Master!R60="", "", Master!R60), "")</f>
        <v>Ka Po</v>
      </c>
      <c r="T6" s="9" t="str">
        <f>IFERROR(IF(Master!S60="", "", Master!S60), "")</f>
        <v>Ka Po</v>
      </c>
      <c r="U6" s="9" t="str">
        <f>IFERROR(IF(Master!T60="", "", Master!T60), "")</f>
        <v>Ka Po</v>
      </c>
      <c r="V6" s="9" t="str">
        <f>IFERROR(IF(Master!U60="", "", Master!U60), "")</f>
        <v>A Lam</v>
      </c>
      <c r="W6" s="9" t="str">
        <f>IFERROR(IF(Master!V60="", "", Master!V60), "")</f>
        <v>A Lam</v>
      </c>
      <c r="X6" s="9" t="str">
        <f>IFERROR(IF(Master!W60="", "", Master!W60), "")</f>
        <v>A Lam</v>
      </c>
      <c r="Y6" s="9" t="str">
        <f>IFERROR(IF(Master!X60="", "", Master!X60), "")</f>
        <v>A Lam</v>
      </c>
      <c r="Z6" s="9" t="str">
        <f>IFERROR(IF(Master!Y60="", "", Master!Y60), "")</f>
        <v>A Lam</v>
      </c>
      <c r="AA6" s="9" t="str">
        <f>IFERROR(IF(Master!Z60="", "", Master!Z60), "")</f>
        <v>A Lam</v>
      </c>
      <c r="AB6" s="9" t="str">
        <f>IFERROR(IF(Master!AA60="", "", Master!AA60), "")</f>
        <v>A Lam</v>
      </c>
      <c r="AC6" s="9" t="str">
        <f>IFERROR(IF(Master!AB60="", "", Master!AB60), "")</f>
        <v>Ka Po</v>
      </c>
      <c r="AD6" s="9" t="str">
        <f>IFERROR(IF(Master!AC60="", "", Master!AC60), "")</f>
        <v>Ka Po</v>
      </c>
      <c r="AE6" s="9" t="str">
        <f>IFERROR(IF(Master!AD60="", "", Master!AD60), "")</f>
        <v>Ka Po</v>
      </c>
      <c r="AF6" s="9" t="str">
        <f>IFERROR(IF(Master!AE60="", "", Master!AE60), "")</f>
        <v>Ka Po</v>
      </c>
      <c r="AG6" s="9" t="str">
        <f>IFERROR(IF(Master!AF60="", "", Master!AF60), "")</f>
        <v>Ka Po</v>
      </c>
    </row>
    <row r="7" spans="1:42">
      <c r="C7" s="9" t="str">
        <f>IFERROR(IF(Master!B61="", "", Master!B61), "")</f>
        <v>A Lam</v>
      </c>
      <c r="D7" s="9" t="str">
        <f>IFERROR(IF(Master!C61="", "", Master!C61), "")</f>
        <v>A Lam</v>
      </c>
      <c r="E7" s="9" t="str">
        <f>IFERROR(IF(Master!D61="", "", Master!D61), "")</f>
        <v>A Lam</v>
      </c>
      <c r="F7" s="9" t="str">
        <f>IFERROR(IF(Master!E61="", "", Master!E61), "")</f>
        <v>A Lam</v>
      </c>
      <c r="G7" s="9" t="str">
        <f>IFERROR(IF(Master!F61="", "", Master!F61), "")</f>
        <v>A Lam</v>
      </c>
      <c r="H7" s="9" t="str">
        <f>IFERROR(IF(Master!G61="", "", Master!G61), "")</f>
        <v>Katrina</v>
      </c>
      <c r="I7" s="9" t="str">
        <f>IFERROR(IF(Master!H61="", "", Master!H61), "")</f>
        <v>Katrina</v>
      </c>
      <c r="J7" s="9" t="str">
        <f>IFERROR(IF(Master!I61="", "", Master!I61), "")</f>
        <v>Katrina</v>
      </c>
      <c r="K7" s="9" t="str">
        <f>IFERROR(IF(Master!J61="", "", Master!J61), "")</f>
        <v>Katrina</v>
      </c>
      <c r="L7" s="9" t="str">
        <f>IFERROR(IF(Master!K61="", "", Master!K61), "")</f>
        <v>Katrina</v>
      </c>
      <c r="M7" s="9" t="str">
        <f>IFERROR(IF(Master!L61="", "", Master!L61), "")</f>
        <v>Katrina</v>
      </c>
      <c r="N7" s="9" t="str">
        <f>IFERROR(IF(Master!M61="", "", Master!M61), "")</f>
        <v>Katrina</v>
      </c>
      <c r="O7" s="9" t="str">
        <f>IFERROR(IF(Master!N61="", "", Master!N61), "")</f>
        <v>Katrina</v>
      </c>
      <c r="P7" s="9" t="str">
        <f>IFERROR(IF(Master!O61="", "", Master!O61), "")</f>
        <v>Katrina</v>
      </c>
      <c r="Q7" s="9" t="str">
        <f>IFERROR(IF(Master!P61="", "", Master!P61), "")</f>
        <v>Katrina</v>
      </c>
      <c r="R7" s="9" t="str">
        <f>IFERROR(IF(Master!Q61="", "", Master!Q61), "")</f>
        <v>Katrina</v>
      </c>
      <c r="S7" s="9" t="str">
        <f>IFERROR(IF(Master!R61="", "", Master!R61), "")</f>
        <v>Katrina</v>
      </c>
      <c r="T7" s="9" t="str">
        <f>IFERROR(IF(Master!S61="", "", Master!S61), "")</f>
        <v>Katrina</v>
      </c>
      <c r="U7" s="9" t="str">
        <f>IFERROR(IF(Master!T61="", "", Master!T61), "")</f>
        <v>Katrina</v>
      </c>
      <c r="V7" s="9" t="str">
        <f>IFERROR(IF(Master!U61="", "", Master!U61), "")</f>
        <v>Melody</v>
      </c>
      <c r="W7" s="9" t="str">
        <f>IFERROR(IF(Master!V61="", "", Master!V61), "")</f>
        <v>Melody</v>
      </c>
      <c r="X7" s="9" t="str">
        <f>IFERROR(IF(Master!W61="", "", Master!W61), "")</f>
        <v>Melody</v>
      </c>
      <c r="Y7" s="9" t="str">
        <f>IFERROR(IF(Master!X61="", "", Master!X61), "")</f>
        <v>Melody</v>
      </c>
      <c r="Z7" s="9" t="str">
        <f>IFERROR(IF(Master!Y61="", "", Master!Y61), "")</f>
        <v>Melody</v>
      </c>
      <c r="AA7" s="9" t="str">
        <f>IFERROR(IF(Master!Z61="", "", Master!Z61), "")</f>
        <v>Melody</v>
      </c>
      <c r="AB7" s="9" t="str">
        <f>IFERROR(IF(Master!AA61="", "", Master!AA61), "")</f>
        <v>Melody</v>
      </c>
      <c r="AC7" s="9" t="str">
        <f>IFERROR(IF(Master!AB61="", "", Master!AB61), "")</f>
        <v>Katrina</v>
      </c>
      <c r="AD7" s="9" t="str">
        <f>IFERROR(IF(Master!AC61="", "", Master!AC61), "")</f>
        <v>Katrina</v>
      </c>
      <c r="AE7" s="9" t="str">
        <f>IFERROR(IF(Master!AD61="", "", Master!AD61), "")</f>
        <v>Katrina</v>
      </c>
      <c r="AF7" s="9" t="str">
        <f>IFERROR(IF(Master!AE61="", "", Master!AE61), "")</f>
        <v>Katrina</v>
      </c>
      <c r="AG7" s="9" t="str">
        <f>IFERROR(IF(Master!AF61="", "", Master!AF61), "")</f>
        <v>Katrina</v>
      </c>
    </row>
    <row r="8" spans="1:42">
      <c r="C8" s="9" t="str">
        <f>IFERROR(IF(Master!B62="", "", Master!B62), "")</f>
        <v/>
      </c>
      <c r="D8" s="9" t="str">
        <f>IFERROR(IF(Master!C62="", "", Master!C62), "")</f>
        <v/>
      </c>
      <c r="E8" s="9" t="str">
        <f>IFERROR(IF(Master!D62="", "", Master!D62), "")</f>
        <v/>
      </c>
      <c r="F8" s="9" t="str">
        <f>IFERROR(IF(Master!E62="", "", Master!E62), "")</f>
        <v/>
      </c>
      <c r="G8" s="9" t="str">
        <f>IFERROR(IF(Master!F62="", "", Master!F62), "")</f>
        <v/>
      </c>
      <c r="H8" s="9" t="str">
        <f>IFERROR(IF(Master!G62="", "", Master!G62), "")</f>
        <v/>
      </c>
      <c r="I8" s="9" t="str">
        <f>IFERROR(IF(Master!H62="", "", Master!H62), "")</f>
        <v/>
      </c>
      <c r="J8" s="9" t="str">
        <f>IFERROR(IF(Master!I62="", "", Master!I62), "")</f>
        <v/>
      </c>
      <c r="K8" s="9" t="str">
        <f>IFERROR(IF(Master!J62="", "", Master!J62), "")</f>
        <v/>
      </c>
      <c r="L8" s="9" t="str">
        <f>IFERROR(IF(Master!K62="", "", Master!K62), "")</f>
        <v/>
      </c>
      <c r="M8" s="9" t="str">
        <f>IFERROR(IF(Master!L62="", "", Master!L62), "")</f>
        <v/>
      </c>
      <c r="N8" s="9" t="str">
        <f>IFERROR(IF(Master!M62="", "", Master!M62), "")</f>
        <v/>
      </c>
      <c r="O8" s="9" t="str">
        <f>IFERROR(IF(Master!N62="", "", Master!N62), "")</f>
        <v/>
      </c>
      <c r="P8" s="9" t="str">
        <f>IFERROR(IF(Master!O62="", "", Master!O62), "")</f>
        <v/>
      </c>
      <c r="Q8" s="9" t="str">
        <f>IFERROR(IF(Master!P62="", "", Master!P62), "")</f>
        <v/>
      </c>
      <c r="R8" s="9" t="str">
        <f>IFERROR(IF(Master!Q62="", "", Master!Q62), "")</f>
        <v/>
      </c>
      <c r="S8" s="9" t="str">
        <f>IFERROR(IF(Master!R62="", "", Master!R62), "")</f>
        <v/>
      </c>
      <c r="T8" s="9" t="str">
        <f>IFERROR(IF(Master!S62="", "", Master!S62), "")</f>
        <v/>
      </c>
      <c r="U8" s="9" t="str">
        <f>IFERROR(IF(Master!T62="", "", Master!T62), "")</f>
        <v/>
      </c>
      <c r="V8" s="9" t="str">
        <f>IFERROR(IF(Master!U62="", "", Master!U62), "")</f>
        <v/>
      </c>
      <c r="W8" s="9" t="str">
        <f>IFERROR(IF(Master!V62="", "", Master!V62), "")</f>
        <v/>
      </c>
      <c r="X8" s="9" t="str">
        <f>IFERROR(IF(Master!W62="", "", Master!W62), "")</f>
        <v/>
      </c>
      <c r="Y8" s="9" t="str">
        <f>IFERROR(IF(Master!X62="", "", Master!X62), "")</f>
        <v/>
      </c>
      <c r="Z8" s="9" t="str">
        <f>IFERROR(IF(Master!Y62="", "", Master!Y62), "")</f>
        <v/>
      </c>
      <c r="AA8" s="9" t="str">
        <f>IFERROR(IF(Master!Z62="", "", Master!Z62), "")</f>
        <v/>
      </c>
      <c r="AB8" s="9" t="str">
        <f>IFERROR(IF(Master!AA62="", "", Master!AA62), "")</f>
        <v/>
      </c>
      <c r="AC8" s="9" t="str">
        <f>IFERROR(IF(Master!AB62="", "", Master!AB62), "")</f>
        <v/>
      </c>
      <c r="AD8" s="9" t="str">
        <f>IFERROR(IF(Master!AC62="", "", Master!AC62), "")</f>
        <v/>
      </c>
      <c r="AE8" s="9" t="str">
        <f>IFERROR(IF(Master!AD62="", "", Master!AD62), "")</f>
        <v/>
      </c>
      <c r="AF8" s="9" t="str">
        <f>IFERROR(IF(Master!AE62="", "", Master!AE62), "")</f>
        <v/>
      </c>
      <c r="AG8" s="9" t="str">
        <f>IFERROR(IF(Master!AF62="", "", Master!AF62), "")</f>
        <v/>
      </c>
    </row>
    <row r="9" spans="1:42">
      <c r="C9" s="9" t="str">
        <f>IFERROR(IF(Master!B63="", "", Master!B63), "")</f>
        <v>Ivy</v>
      </c>
      <c r="D9" s="9" t="str">
        <f>IFERROR(IF(Master!C63="", "", Master!C63), "")</f>
        <v>Ivy</v>
      </c>
      <c r="E9" s="9" t="str">
        <f>IFERROR(IF(Master!D63="", "", Master!D63), "")</f>
        <v>Ivy</v>
      </c>
      <c r="F9" s="9" t="str">
        <f>IFERROR(IF(Master!E63="", "", Master!E63), "")</f>
        <v>Ivy</v>
      </c>
      <c r="G9" s="9" t="str">
        <f>IFERROR(IF(Master!F63="", "", Master!F63), "")</f>
        <v>Ivy</v>
      </c>
      <c r="H9" s="9" t="str">
        <f>IFERROR(IF(Master!G63="", "", Master!G63), "")</f>
        <v/>
      </c>
      <c r="I9" s="9" t="str">
        <f>IFERROR(IF(Master!H63="", "", Master!H63), "")</f>
        <v/>
      </c>
      <c r="J9" s="9" t="str">
        <f>IFERROR(IF(Master!I63="", "", Master!I63), "")</f>
        <v/>
      </c>
      <c r="K9" s="9" t="str">
        <f>IFERROR(IF(Master!J63="", "", Master!J63), "")</f>
        <v/>
      </c>
      <c r="L9" s="9" t="str">
        <f>IFERROR(IF(Master!K63="", "", Master!K63), "")</f>
        <v/>
      </c>
      <c r="M9" s="9" t="str">
        <f>IFERROR(IF(Master!L63="", "", Master!L63), "")</f>
        <v/>
      </c>
      <c r="N9" s="9" t="str">
        <f>IFERROR(IF(Master!M63="", "", Master!M63), "")</f>
        <v/>
      </c>
      <c r="O9" s="9" t="str">
        <f>IFERROR(IF(Master!N63="", "", Master!N63), "")</f>
        <v>Dicky</v>
      </c>
      <c r="P9" s="9" t="str">
        <f>IFERROR(IF(Master!O63="", "", Master!O63), "")</f>
        <v>Dicky</v>
      </c>
      <c r="Q9" s="9" t="str">
        <f>IFERROR(IF(Master!P63="", "", Master!P63), "")</f>
        <v>Dicky</v>
      </c>
      <c r="R9" s="9" t="str">
        <f>IFERROR(IF(Master!Q63="", "", Master!Q63), "")</f>
        <v>Dicky</v>
      </c>
      <c r="S9" s="9" t="str">
        <f>IFERROR(IF(Master!R63="", "", Master!R63), "")</f>
        <v>Dicky</v>
      </c>
      <c r="T9" s="9" t="str">
        <f>IFERROR(IF(Master!S63="", "", Master!S63), "")</f>
        <v>Dicky</v>
      </c>
      <c r="U9" s="9" t="str">
        <f>IFERROR(IF(Master!T63="", "", Master!T63), "")</f>
        <v>Dicky</v>
      </c>
      <c r="V9" s="9" t="str">
        <f>IFERROR(IF(Master!U63="", "", Master!U63), "")</f>
        <v/>
      </c>
      <c r="W9" s="9" t="str">
        <f>IFERROR(IF(Master!V63="", "", Master!V63), "")</f>
        <v/>
      </c>
      <c r="X9" s="9" t="str">
        <f>IFERROR(IF(Master!W63="", "", Master!W63), "")</f>
        <v/>
      </c>
      <c r="Y9" s="9" t="str">
        <f>IFERROR(IF(Master!X63="", "", Master!X63), "")</f>
        <v/>
      </c>
      <c r="Z9" s="9" t="str">
        <f>IFERROR(IF(Master!Y63="", "", Master!Y63), "")</f>
        <v/>
      </c>
      <c r="AA9" s="9" t="str">
        <f>IFERROR(IF(Master!Z63="", "", Master!Z63), "")</f>
        <v/>
      </c>
      <c r="AB9" s="9" t="str">
        <f>IFERROR(IF(Master!AA63="", "", Master!AA63), "")</f>
        <v>Amy</v>
      </c>
      <c r="AC9" s="9" t="str">
        <f>IFERROR(IF(Master!AB63="", "", Master!AB63), "")</f>
        <v>Amy</v>
      </c>
      <c r="AD9" s="9" t="str">
        <f>IFERROR(IF(Master!AC63="", "", Master!AC63), "")</f>
        <v>Amy</v>
      </c>
      <c r="AE9" s="9" t="str">
        <f>IFERROR(IF(Master!AD63="", "", Master!AD63), "")</f>
        <v>Amy</v>
      </c>
      <c r="AF9" s="9" t="str">
        <f>IFERROR(IF(Master!AE63="", "", Master!AE63), "")</f>
        <v>Amy</v>
      </c>
      <c r="AG9" s="9" t="str">
        <f>IFERROR(IF(Master!AF63="", "", Master!AF63), "")</f>
        <v>Amy</v>
      </c>
    </row>
    <row r="10" spans="1:42">
      <c r="C10" s="9" t="str">
        <f>IFERROR(IF(Master!B64="", "", Master!B64), "")</f>
        <v/>
      </c>
      <c r="D10" s="9" t="str">
        <f>IFERROR(IF(Master!C64="", "", Master!C64), "")</f>
        <v/>
      </c>
      <c r="E10" s="9" t="str">
        <f>IFERROR(IF(Master!D64="", "", Master!D64), "")</f>
        <v/>
      </c>
      <c r="F10" s="9" t="str">
        <f>IFERROR(IF(Master!E64="", "", Master!E64), "")</f>
        <v/>
      </c>
      <c r="G10" s="9" t="str">
        <f>IFERROR(IF(Master!F64="", "", Master!F64), "")</f>
        <v/>
      </c>
      <c r="H10" s="9" t="str">
        <f>IFERROR(IF(Master!G64="", "", Master!G64), "")</f>
        <v/>
      </c>
      <c r="I10" s="9" t="str">
        <f>IFERROR(IF(Master!H64="", "", Master!H64), "")</f>
        <v/>
      </c>
      <c r="J10" s="9" t="str">
        <f>IFERROR(IF(Master!I64="", "", Master!I64), "")</f>
        <v/>
      </c>
      <c r="K10" s="9" t="str">
        <f>IFERROR(IF(Master!J64="", "", Master!J64), "")</f>
        <v/>
      </c>
      <c r="L10" s="9" t="str">
        <f>IFERROR(IF(Master!K64="", "", Master!K64), "")</f>
        <v/>
      </c>
      <c r="M10" s="9" t="str">
        <f>IFERROR(IF(Master!L64="", "", Master!L64), "")</f>
        <v/>
      </c>
      <c r="N10" s="9" t="str">
        <f>IFERROR(IF(Master!M64="", "", Master!M64), "")</f>
        <v/>
      </c>
      <c r="O10" s="9" t="str">
        <f>IFERROR(IF(Master!N64="", "", Master!N64), "")</f>
        <v/>
      </c>
      <c r="P10" s="9" t="str">
        <f>IFERROR(IF(Master!O64="", "", Master!O64), "")</f>
        <v/>
      </c>
      <c r="Q10" s="9" t="str">
        <f>IFERROR(IF(Master!P64="", "", Master!P64), "")</f>
        <v/>
      </c>
      <c r="R10" s="9" t="str">
        <f>IFERROR(IF(Master!Q64="", "", Master!Q64), "")</f>
        <v/>
      </c>
      <c r="S10" s="9" t="str">
        <f>IFERROR(IF(Master!R64="", "", Master!R64), "")</f>
        <v/>
      </c>
      <c r="T10" s="9" t="str">
        <f>IFERROR(IF(Master!S64="", "", Master!S64), "")</f>
        <v/>
      </c>
      <c r="U10" s="9" t="str">
        <f>IFERROR(IF(Master!T64="", "", Master!T64), "")</f>
        <v/>
      </c>
      <c r="V10" s="9" t="str">
        <f>IFERROR(IF(Master!U64="", "", Master!U64), "")</f>
        <v/>
      </c>
      <c r="W10" s="9" t="str">
        <f>IFERROR(IF(Master!V64="", "", Master!V64), "")</f>
        <v/>
      </c>
      <c r="X10" s="9" t="str">
        <f>IFERROR(IF(Master!W64="", "", Master!W64), "")</f>
        <v/>
      </c>
      <c r="Y10" s="9" t="str">
        <f>IFERROR(IF(Master!X64="", "", Master!X64), "")</f>
        <v/>
      </c>
      <c r="Z10" s="9" t="str">
        <f>IFERROR(IF(Master!Y64="", "", Master!Y64), "")</f>
        <v/>
      </c>
      <c r="AA10" s="9" t="str">
        <f>IFERROR(IF(Master!Z64="", "", Master!Z64), "")</f>
        <v/>
      </c>
      <c r="AB10" s="9" t="str">
        <f>IFERROR(IF(Master!AA64="", "", Master!AA64), "")</f>
        <v/>
      </c>
      <c r="AC10" s="9" t="str">
        <f>IFERROR(IF(Master!AB64="", "", Master!AB64), "")</f>
        <v/>
      </c>
      <c r="AD10" s="9" t="str">
        <f>IFERROR(IF(Master!AC64="", "", Master!AC64), "")</f>
        <v/>
      </c>
      <c r="AE10" s="9" t="str">
        <f>IFERROR(IF(Master!AD64="", "", Master!AD64), "")</f>
        <v/>
      </c>
      <c r="AF10" s="9" t="str">
        <f>IFERROR(IF(Master!AE64="", "", Master!AE64), "")</f>
        <v/>
      </c>
      <c r="AG10" s="9" t="str">
        <f>IFERROR(IF(Master!AF64="", "", Master!AF64),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0</v>
      </c>
      <c r="E13" s="12">
        <f t="shared" si="1"/>
        <v>0</v>
      </c>
      <c r="F13" s="12">
        <f t="shared" si="1"/>
        <v>27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28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29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30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12">
        <f t="shared" si="1"/>
        <v>0</v>
      </c>
      <c r="AG13" s="12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46204</v>
      </c>
      <c r="D16" s="72">
        <f t="shared" si="2"/>
        <v>46205</v>
      </c>
      <c r="E16" s="72">
        <f t="shared" si="2"/>
        <v>46206</v>
      </c>
      <c r="F16" s="72">
        <f t="shared" si="2"/>
        <v>46207</v>
      </c>
      <c r="G16" s="72">
        <f t="shared" si="2"/>
        <v>46208</v>
      </c>
      <c r="H16" s="72">
        <f t="shared" si="2"/>
        <v>46209</v>
      </c>
      <c r="I16" s="72">
        <f t="shared" si="2"/>
        <v>46210</v>
      </c>
      <c r="J16" s="72">
        <f t="shared" si="2"/>
        <v>46211</v>
      </c>
      <c r="K16" s="72">
        <f t="shared" si="2"/>
        <v>46212</v>
      </c>
      <c r="L16" s="72">
        <f t="shared" si="2"/>
        <v>46213</v>
      </c>
      <c r="M16" s="72">
        <f t="shared" si="2"/>
        <v>46214</v>
      </c>
      <c r="N16" s="72">
        <f t="shared" si="2"/>
        <v>46215</v>
      </c>
      <c r="O16" s="72">
        <f t="shared" si="2"/>
        <v>46216</v>
      </c>
      <c r="P16" s="72">
        <f t="shared" si="2"/>
        <v>46217</v>
      </c>
      <c r="Q16" s="72">
        <f t="shared" si="2"/>
        <v>46218</v>
      </c>
      <c r="R16" s="72">
        <f t="shared" si="2"/>
        <v>46219</v>
      </c>
      <c r="S16" s="72">
        <f t="shared" si="2"/>
        <v>46220</v>
      </c>
      <c r="T16" s="72">
        <f t="shared" si="2"/>
        <v>46221</v>
      </c>
      <c r="U16" s="72">
        <f t="shared" si="2"/>
        <v>46222</v>
      </c>
      <c r="V16" s="72">
        <f t="shared" si="2"/>
        <v>46223</v>
      </c>
      <c r="W16" s="72">
        <f t="shared" si="2"/>
        <v>46224</v>
      </c>
      <c r="X16" s="72">
        <f t="shared" si="2"/>
        <v>46225</v>
      </c>
      <c r="Y16" s="72">
        <f t="shared" si="2"/>
        <v>46226</v>
      </c>
      <c r="Z16" s="72">
        <f t="shared" si="2"/>
        <v>46227</v>
      </c>
      <c r="AA16" s="72">
        <f t="shared" si="2"/>
        <v>46228</v>
      </c>
      <c r="AB16" s="72">
        <f t="shared" si="2"/>
        <v>46229</v>
      </c>
      <c r="AC16" s="72">
        <f t="shared" si="2"/>
        <v>46230</v>
      </c>
      <c r="AD16" s="72">
        <f t="shared" si="2"/>
        <v>46231</v>
      </c>
      <c r="AE16" s="72">
        <f t="shared" si="2"/>
        <v>46232</v>
      </c>
      <c r="AF16" s="72">
        <f t="shared" si="2"/>
        <v>46233</v>
      </c>
      <c r="AG16" s="72">
        <f t="shared" si="2"/>
        <v>46234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Wed</v>
      </c>
      <c r="D17" s="39" t="str">
        <f t="shared" ref="D17:AG17" si="3">TEXT(D16,"ddd")</f>
        <v>Thu</v>
      </c>
      <c r="E17" s="39" t="str">
        <f t="shared" si="3"/>
        <v>Fri</v>
      </c>
      <c r="F17" s="39" t="str">
        <f t="shared" si="3"/>
        <v>Sat</v>
      </c>
      <c r="G17" s="39" t="str">
        <f t="shared" si="3"/>
        <v>Sun</v>
      </c>
      <c r="H17" s="39" t="str">
        <f t="shared" si="3"/>
        <v>Mon</v>
      </c>
      <c r="I17" s="39" t="str">
        <f t="shared" si="3"/>
        <v>Tue</v>
      </c>
      <c r="J17" s="39" t="str">
        <f t="shared" si="3"/>
        <v>Wed</v>
      </c>
      <c r="K17" s="39" t="str">
        <f t="shared" si="3"/>
        <v>Thu</v>
      </c>
      <c r="L17" s="39" t="str">
        <f t="shared" si="3"/>
        <v>Fri</v>
      </c>
      <c r="M17" s="39" t="str">
        <f t="shared" si="3"/>
        <v>Sat</v>
      </c>
      <c r="N17" s="39" t="str">
        <f t="shared" si="3"/>
        <v>Sun</v>
      </c>
      <c r="O17" s="39" t="str">
        <f t="shared" si="3"/>
        <v>Mon</v>
      </c>
      <c r="P17" s="39" t="str">
        <f t="shared" si="3"/>
        <v>Tue</v>
      </c>
      <c r="Q17" s="39" t="str">
        <f t="shared" si="3"/>
        <v>Wed</v>
      </c>
      <c r="R17" s="39" t="str">
        <f t="shared" si="3"/>
        <v>Thu</v>
      </c>
      <c r="S17" s="39" t="str">
        <f t="shared" si="3"/>
        <v>Fri</v>
      </c>
      <c r="T17" s="39" t="str">
        <f t="shared" si="3"/>
        <v>Sat</v>
      </c>
      <c r="U17" s="39" t="str">
        <f t="shared" si="3"/>
        <v>Sun</v>
      </c>
      <c r="V17" s="39" t="str">
        <f t="shared" si="3"/>
        <v>Mon</v>
      </c>
      <c r="W17" s="39" t="str">
        <f t="shared" si="3"/>
        <v>Tue</v>
      </c>
      <c r="X17" s="39" t="str">
        <f t="shared" si="3"/>
        <v>Wed</v>
      </c>
      <c r="Y17" s="39" t="str">
        <f t="shared" si="3"/>
        <v>Thu</v>
      </c>
      <c r="Z17" s="39" t="str">
        <f t="shared" si="3"/>
        <v>Fri</v>
      </c>
      <c r="AA17" s="39" t="str">
        <f t="shared" si="3"/>
        <v>Sat</v>
      </c>
      <c r="AB17" s="39" t="str">
        <f t="shared" si="3"/>
        <v>Sun</v>
      </c>
      <c r="AC17" s="39" t="str">
        <f t="shared" si="3"/>
        <v>Mon</v>
      </c>
      <c r="AD17" s="39" t="str">
        <f t="shared" si="3"/>
        <v>Tue</v>
      </c>
      <c r="AE17" s="39" t="str">
        <f t="shared" si="3"/>
        <v>Wed</v>
      </c>
      <c r="AF17" s="39" t="str">
        <f t="shared" si="3"/>
        <v>Thu</v>
      </c>
      <c r="AG17" s="39" t="str">
        <f t="shared" si="3"/>
        <v>Fri</v>
      </c>
      <c r="AK17" s="85"/>
      <c r="AL17" s="85"/>
      <c r="AM17" s="85"/>
      <c r="AN17" s="83"/>
      <c r="AO17" s="83"/>
      <c r="AP17" s="83"/>
    </row>
    <row r="18" spans="1:42" ht="23.2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PH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HD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DO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HD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DO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HD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DO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HD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DO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D</v>
      </c>
      <c r="AK18" s="11" t="s">
        <v>118</v>
      </c>
      <c r="AL18" s="65">
        <f>SUMPRODUCT((C18:AG18="D")*8) + SUMPRODUCT((C18:AG18="E")*8) + SUMPRODUCT((C18:AG18="HD")*4)</f>
        <v>192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192</v>
      </c>
      <c r="AO18" s="67">
        <f>AN18-$AN$18</f>
        <v>0</v>
      </c>
      <c r="AP18" s="67">
        <f>AO18+Jun!AP18</f>
        <v>0</v>
      </c>
    </row>
    <row r="19" spans="1:42" ht="23.2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PH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AL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AL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DO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DO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DO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DO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DO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DO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</v>
      </c>
      <c r="AK19" s="11" t="s">
        <v>21</v>
      </c>
      <c r="AL19" s="65">
        <f t="shared" ref="AL19:AL26" si="4">SUMPRODUCT((C19:AG19="D")*8) + SUMPRODUCT((C19:AG19="E")*8) + SUMPRODUCT((C19:AG19="HD")*4)</f>
        <v>176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16</v>
      </c>
      <c r="AN19" s="68">
        <f t="shared" ref="AN19:AN31" si="5">AL19+AM19</f>
        <v>192</v>
      </c>
      <c r="AO19" s="67">
        <f t="shared" ref="AO19:AO31" si="6">AN19-$AN$18</f>
        <v>0</v>
      </c>
      <c r="AP19" s="67">
        <f>AO19+Jun!AP19</f>
        <v>-4</v>
      </c>
    </row>
    <row r="20" spans="1:42" ht="23.2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PH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HD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DO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HD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DO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HD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DO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HD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DO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D</v>
      </c>
      <c r="AK20" s="11" t="s">
        <v>119</v>
      </c>
      <c r="AL20" s="65">
        <f t="shared" si="4"/>
        <v>192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192</v>
      </c>
      <c r="AO20" s="67">
        <f t="shared" si="6"/>
        <v>0</v>
      </c>
      <c r="AP20" s="67">
        <f>AO20+Jun!AP20</f>
        <v>0</v>
      </c>
    </row>
    <row r="21" spans="1:42" ht="23.2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PH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E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E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DO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D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DO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DO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AL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AL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AL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AL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AL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DO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DO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DO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E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E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E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E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E</v>
      </c>
      <c r="AK21" s="11" t="s">
        <v>24</v>
      </c>
      <c r="AL21" s="65">
        <f t="shared" si="4"/>
        <v>152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40</v>
      </c>
      <c r="AN21" s="68">
        <f t="shared" si="5"/>
        <v>192</v>
      </c>
      <c r="AO21" s="67">
        <f t="shared" si="6"/>
        <v>0</v>
      </c>
      <c r="AP21" s="67">
        <f>AO21+Jun!AP21</f>
        <v>-12</v>
      </c>
    </row>
    <row r="22" spans="1:42" ht="23.2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PH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DO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DO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E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E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E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E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DO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E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DO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DO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DO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AL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AL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AL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AL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AL</v>
      </c>
      <c r="AK22" s="11" t="s">
        <v>22</v>
      </c>
      <c r="AL22" s="65">
        <f t="shared" si="4"/>
        <v>152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40</v>
      </c>
      <c r="AN22" s="68">
        <f t="shared" si="5"/>
        <v>192</v>
      </c>
      <c r="AO22" s="67">
        <f t="shared" si="6"/>
        <v>0</v>
      </c>
      <c r="AP22" s="67">
        <f>AO22+Jun!AP22</f>
        <v>4</v>
      </c>
    </row>
    <row r="23" spans="1:42" ht="23.2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PH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D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DO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DO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DO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DO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DO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E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DO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D</v>
      </c>
      <c r="AK23" s="11" t="s">
        <v>23</v>
      </c>
      <c r="AL23" s="65">
        <f t="shared" si="4"/>
        <v>192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192</v>
      </c>
      <c r="AO23" s="67">
        <f t="shared" si="6"/>
        <v>0</v>
      </c>
      <c r="AP23" s="67">
        <f>AO23+Jun!AP23</f>
        <v>4</v>
      </c>
    </row>
    <row r="24" spans="1:42" ht="23.2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PH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E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E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DO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DO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DO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E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E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E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DO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DO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DO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E</v>
      </c>
      <c r="AK24" s="11" t="s">
        <v>25</v>
      </c>
      <c r="AL24" s="65">
        <f t="shared" si="4"/>
        <v>192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192</v>
      </c>
      <c r="AO24" s="67">
        <f t="shared" si="6"/>
        <v>0</v>
      </c>
      <c r="AP24" s="67">
        <f>AO24+Jun!AP24</f>
        <v>-4</v>
      </c>
    </row>
    <row r="25" spans="1:42" ht="23.2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PH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DO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DO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E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E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E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E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DO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DO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DO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E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E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E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E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E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DO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D</v>
      </c>
      <c r="AK25" s="11" t="s">
        <v>27</v>
      </c>
      <c r="AL25" s="65">
        <f t="shared" si="4"/>
        <v>192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192</v>
      </c>
      <c r="AO25" s="67">
        <f t="shared" si="6"/>
        <v>0</v>
      </c>
      <c r="AP25" s="67">
        <f>AO25+Jun!AP25</f>
        <v>-4</v>
      </c>
    </row>
    <row r="26" spans="1:42" ht="23.2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PH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DO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DO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E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E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E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E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E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DO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E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E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E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DO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DO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DO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E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E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E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E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E</v>
      </c>
      <c r="AK26" s="11" t="s">
        <v>26</v>
      </c>
      <c r="AL26" s="65">
        <f t="shared" si="4"/>
        <v>192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192</v>
      </c>
      <c r="AO26" s="67">
        <f t="shared" si="6"/>
        <v>0</v>
      </c>
      <c r="AP26" s="67">
        <f>AO26+Jun!AP26</f>
        <v>12</v>
      </c>
    </row>
    <row r="27" spans="1:42" ht="23.2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PH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HD2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DO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DO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DO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HD2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DO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DO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DO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B6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AO27+Jun!AP27</f>
        <v>0</v>
      </c>
    </row>
    <row r="28" spans="1:42" ht="23.2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PH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DO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DO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HD2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DO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DO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DO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HD2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DO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D1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AO28+Jun!AP28</f>
        <v>0</v>
      </c>
    </row>
    <row r="29" spans="1:42" ht="23.2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AO29+Jun!AP29</f>
        <v>0</v>
      </c>
    </row>
    <row r="30" spans="1:42" ht="23.2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AO30+Jun!AP30</f>
        <v>0</v>
      </c>
    </row>
    <row r="31" spans="1:42" ht="23.2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PH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HD1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DO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HD1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DO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HD1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DO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HD1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DO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D</v>
      </c>
      <c r="AK31" s="11" t="s">
        <v>136</v>
      </c>
      <c r="AL31" s="11">
        <f>SUMPRODUCT((C31:AG31="D")*8) + SUMPRODUCT((C31:AG31="E")*8) + SUMPRODUCT((C31:AG31="HD1")*4)</f>
        <v>192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192</v>
      </c>
      <c r="AO31" s="67">
        <f t="shared" si="6"/>
        <v>0</v>
      </c>
      <c r="AP31" s="67">
        <f>AO31+Jun!AP31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34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3">
    <cfRule type="expression" dxfId="111" priority="40">
      <formula>B$36="sun"</formula>
    </cfRule>
  </conditionalFormatting>
  <conditionalFormatting sqref="C3:AG10">
    <cfRule type="expression" dxfId="108" priority="48">
      <formula>WEEKDAY(C3,2)=7</formula>
    </cfRule>
  </conditionalFormatting>
  <conditionalFormatting sqref="C4:AG10">
    <cfRule type="expression" dxfId="107" priority="45">
      <formula>C$4="Sun"</formula>
    </cfRule>
  </conditionalFormatting>
  <conditionalFormatting sqref="C5:AG10">
    <cfRule type="expression" dxfId="106" priority="44">
      <formula>B$36="sun"</formula>
    </cfRule>
  </conditionalFormatting>
  <conditionalFormatting sqref="C17:AG17">
    <cfRule type="expression" dxfId="103" priority="28">
      <formula>C$17="sun"</formula>
    </cfRule>
    <cfRule type="expression" dxfId="102" priority="29">
      <formula>C$17="sat"</formula>
    </cfRule>
  </conditionalFormatting>
  <conditionalFormatting sqref="C18:AG31">
    <cfRule type="expression" dxfId="101" priority="1">
      <formula>C18="HDAL"</formula>
    </cfRule>
    <cfRule type="expression" dxfId="100" priority="2">
      <formula>C18="PH"</formula>
    </cfRule>
    <cfRule type="expression" dxfId="99" priority="3">
      <formula>C18="AL"</formula>
    </cfRule>
    <cfRule type="expression" dxfId="97" priority="5">
      <formula>C18="DO"</formula>
    </cfRule>
  </conditionalFormatting>
  <conditionalFormatting sqref="AO18:AP31">
    <cfRule type="expression" dxfId="96" priority="6">
      <formula>AO18&gt;0</formula>
    </cfRule>
    <cfRule type="expression" dxfId="95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FA37434A-6CD5-4E69-83BF-CC4E473EB0C2}">
            <xm:f>AND(COUNTIF(PH!$A:$A,C3)&gt;0,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47" id="{90C89FE5-130F-409C-BC1A-829DEDD5845F}">
            <xm:f>COUNTIF(PH!$A:$A, C3)&gt;0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17" id="{09144FE4-4447-456E-832C-502DBB717969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18" id="{654E6780-8A2A-455D-9CA5-8BE0344D6F60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1EF90242-BB25-4100-85B0-1E2C738F0B3C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91D8ED-90C3-4181-BB13-ECD2ED0EAE58}">
          <x14:formula1>
            <xm:f>'On call stat'!$T$3:$T$21</xm:f>
          </x14:formula1>
          <xm:sqref>C3:AG3 C5:AG10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8B5D-166E-4048-B740-553DCD526A35}">
  <sheetPr codeName="Sheet9"/>
  <dimension ref="A1:AP48"/>
  <sheetViews>
    <sheetView topLeftCell="C15" zoomScale="70" zoomScaleNormal="70" workbookViewId="0">
      <selection activeCell="C18" sqref="C18:AG31"/>
    </sheetView>
  </sheetViews>
  <sheetFormatPr defaultRowHeight="15"/>
  <cols>
    <col min="2" max="2" width="31.42578125" customWidth="1"/>
    <col min="36" max="36" width="9.140625" style="42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IFERROR(IF(Master!B66="", "", Master!B66), "")</f>
        <v>46235</v>
      </c>
      <c r="D3" s="9">
        <f>IFERROR(IF(Master!C66="", "", Master!C66), "")</f>
        <v>46236</v>
      </c>
      <c r="E3" s="9">
        <f>IFERROR(IF(Master!D66="", "", Master!D66), "")</f>
        <v>46237</v>
      </c>
      <c r="F3" s="9">
        <f>IFERROR(IF(Master!E66="", "", Master!E66), "")</f>
        <v>46238</v>
      </c>
      <c r="G3" s="9">
        <f>IFERROR(IF(Master!F66="", "", Master!F66), "")</f>
        <v>46239</v>
      </c>
      <c r="H3" s="9">
        <f>IFERROR(IF(Master!G66="", "", Master!G66), "")</f>
        <v>46240</v>
      </c>
      <c r="I3" s="9">
        <f>IFERROR(IF(Master!H66="", "", Master!H66), "")</f>
        <v>46241</v>
      </c>
      <c r="J3" s="9">
        <f>IFERROR(IF(Master!I66="", "", Master!I66), "")</f>
        <v>46242</v>
      </c>
      <c r="K3" s="9">
        <f>IFERROR(IF(Master!J66="", "", Master!J66), "")</f>
        <v>46243</v>
      </c>
      <c r="L3" s="9">
        <f>IFERROR(IF(Master!K66="", "", Master!K66), "")</f>
        <v>46244</v>
      </c>
      <c r="M3" s="9">
        <f>IFERROR(IF(Master!L66="", "", Master!L66), "")</f>
        <v>46245</v>
      </c>
      <c r="N3" s="9">
        <f>IFERROR(IF(Master!M66="", "", Master!M66), "")</f>
        <v>46246</v>
      </c>
      <c r="O3" s="9">
        <f>IFERROR(IF(Master!N66="", "", Master!N66), "")</f>
        <v>46247</v>
      </c>
      <c r="P3" s="9">
        <f>IFERROR(IF(Master!O66="", "", Master!O66), "")</f>
        <v>46248</v>
      </c>
      <c r="Q3" s="9">
        <f>IFERROR(IF(Master!P66="", "", Master!P66), "")</f>
        <v>46249</v>
      </c>
      <c r="R3" s="9">
        <f>IFERROR(IF(Master!Q66="", "", Master!Q66), "")</f>
        <v>46250</v>
      </c>
      <c r="S3" s="9">
        <f>IFERROR(IF(Master!R66="", "", Master!R66), "")</f>
        <v>46251</v>
      </c>
      <c r="T3" s="9">
        <f>IFERROR(IF(Master!S66="", "", Master!S66), "")</f>
        <v>46252</v>
      </c>
      <c r="U3" s="9">
        <f>IFERROR(IF(Master!T66="", "", Master!T66), "")</f>
        <v>46253</v>
      </c>
      <c r="V3" s="9">
        <f>IFERROR(IF(Master!U66="", "", Master!U66), "")</f>
        <v>46254</v>
      </c>
      <c r="W3" s="9">
        <f>IFERROR(IF(Master!V66="", "", Master!V66), "")</f>
        <v>46255</v>
      </c>
      <c r="X3" s="9">
        <f>IFERROR(IF(Master!W66="", "", Master!W66), "")</f>
        <v>46256</v>
      </c>
      <c r="Y3" s="9">
        <f>IFERROR(IF(Master!X66="", "", Master!X66), "")</f>
        <v>46257</v>
      </c>
      <c r="Z3" s="9">
        <f>IFERROR(IF(Master!Y66="", "", Master!Y66), "")</f>
        <v>46258</v>
      </c>
      <c r="AA3" s="9">
        <f>IFERROR(IF(Master!Z66="", "", Master!Z66), "")</f>
        <v>46259</v>
      </c>
      <c r="AB3" s="9">
        <f>IFERROR(IF(Master!AA66="", "", Master!AA66), "")</f>
        <v>46260</v>
      </c>
      <c r="AC3" s="9">
        <f>IFERROR(IF(Master!AB66="", "", Master!AB66), "")</f>
        <v>46261</v>
      </c>
      <c r="AD3" s="9">
        <f>IFERROR(IF(Master!AC66="", "", Master!AC66), "")</f>
        <v>46262</v>
      </c>
      <c r="AE3" s="9">
        <f>IFERROR(IF(Master!AD66="", "", Master!AD66), "")</f>
        <v>46263</v>
      </c>
      <c r="AF3" s="9">
        <f>IFERROR(IF(Master!AE66="", "", Master!AE66), "")</f>
        <v>46264</v>
      </c>
      <c r="AG3" s="9">
        <f>IFERROR(IF(Master!AF66="", "", Master!AF66), "")</f>
        <v>46265</v>
      </c>
    </row>
    <row r="4" spans="1:42">
      <c r="C4" s="13" t="str">
        <f t="shared" ref="C4:AG4" si="0">TEXT(C3,"ddd")</f>
        <v>Sat</v>
      </c>
      <c r="D4" s="13" t="str">
        <f t="shared" si="0"/>
        <v>Sun</v>
      </c>
      <c r="E4" s="13" t="str">
        <f t="shared" si="0"/>
        <v>Mon</v>
      </c>
      <c r="F4" s="13" t="str">
        <f t="shared" si="0"/>
        <v>Tue</v>
      </c>
      <c r="G4" s="13" t="str">
        <f t="shared" si="0"/>
        <v>Wed</v>
      </c>
      <c r="H4" s="13" t="str">
        <f t="shared" si="0"/>
        <v>Thu</v>
      </c>
      <c r="I4" s="13" t="str">
        <f t="shared" si="0"/>
        <v>Fri</v>
      </c>
      <c r="J4" s="13" t="str">
        <f t="shared" si="0"/>
        <v>Sat</v>
      </c>
      <c r="K4" s="13" t="str">
        <f t="shared" si="0"/>
        <v>Sun</v>
      </c>
      <c r="L4" s="13" t="str">
        <f t="shared" si="0"/>
        <v>Mon</v>
      </c>
      <c r="M4" s="13" t="str">
        <f t="shared" si="0"/>
        <v>Tue</v>
      </c>
      <c r="N4" s="13" t="str">
        <f t="shared" si="0"/>
        <v>Wed</v>
      </c>
      <c r="O4" s="13" t="str">
        <f t="shared" si="0"/>
        <v>Thu</v>
      </c>
      <c r="P4" s="13" t="str">
        <f t="shared" si="0"/>
        <v>Fri</v>
      </c>
      <c r="Q4" s="13" t="str">
        <f t="shared" si="0"/>
        <v>Sat</v>
      </c>
      <c r="R4" s="13" t="str">
        <f t="shared" si="0"/>
        <v>Sun</v>
      </c>
      <c r="S4" s="13" t="str">
        <f t="shared" si="0"/>
        <v>Mon</v>
      </c>
      <c r="T4" s="13" t="str">
        <f t="shared" si="0"/>
        <v>Tue</v>
      </c>
      <c r="U4" s="13" t="str">
        <f t="shared" si="0"/>
        <v>Wed</v>
      </c>
      <c r="V4" s="13" t="str">
        <f t="shared" si="0"/>
        <v>Thu</v>
      </c>
      <c r="W4" s="13" t="str">
        <f t="shared" si="0"/>
        <v>Fri</v>
      </c>
      <c r="X4" s="13" t="str">
        <f t="shared" si="0"/>
        <v>Sat</v>
      </c>
      <c r="Y4" s="13" t="str">
        <f t="shared" si="0"/>
        <v>Sun</v>
      </c>
      <c r="Z4" s="13" t="str">
        <f t="shared" si="0"/>
        <v>Mon</v>
      </c>
      <c r="AA4" s="13" t="str">
        <f t="shared" si="0"/>
        <v>Tue</v>
      </c>
      <c r="AB4" s="13" t="str">
        <f t="shared" si="0"/>
        <v>Wed</v>
      </c>
      <c r="AC4" s="13" t="str">
        <f t="shared" si="0"/>
        <v>Thu</v>
      </c>
      <c r="AD4" s="13" t="str">
        <f t="shared" si="0"/>
        <v>Fri</v>
      </c>
      <c r="AE4" s="13" t="str">
        <f t="shared" si="0"/>
        <v>Sat</v>
      </c>
      <c r="AF4" s="13" t="str">
        <f t="shared" si="0"/>
        <v>Sun</v>
      </c>
      <c r="AG4" s="13" t="str">
        <f t="shared" si="0"/>
        <v>Mon</v>
      </c>
    </row>
    <row r="5" spans="1:42">
      <c r="C5" s="9" t="str">
        <f>IFERROR(IF(Master!B68="", "", Master!B68), "")</f>
        <v>Dicky</v>
      </c>
      <c r="D5" s="9" t="str">
        <f>IFERROR(IF(Master!C68="", "", Master!C68), "")</f>
        <v>Dicky</v>
      </c>
      <c r="E5" s="9" t="str">
        <f>IFERROR(IF(Master!D68="", "", Master!D68), "")</f>
        <v>Dicky</v>
      </c>
      <c r="F5" s="9" t="str">
        <f>IFERROR(IF(Master!E68="", "", Master!E68), "")</f>
        <v>Dicky</v>
      </c>
      <c r="G5" s="9" t="str">
        <f>IFERROR(IF(Master!F68="", "", Master!F68), "")</f>
        <v>Dicky</v>
      </c>
      <c r="H5" s="9" t="str">
        <f>IFERROR(IF(Master!G68="", "", Master!G68), "")</f>
        <v>Dicky</v>
      </c>
      <c r="I5" s="9" t="str">
        <f>IFERROR(IF(Master!H68="", "", Master!H68), "")</f>
        <v>Dicky</v>
      </c>
      <c r="J5" s="9" t="str">
        <f>IFERROR(IF(Master!I68="", "", Master!I68), "")</f>
        <v>Dicky</v>
      </c>
      <c r="K5" s="9" t="str">
        <f>IFERROR(IF(Master!J68="", "", Master!J68), "")</f>
        <v>Dicky</v>
      </c>
      <c r="L5" s="9" t="str">
        <f>IFERROR(IF(Master!K68="", "", Master!K68), "")</f>
        <v>Amy</v>
      </c>
      <c r="M5" s="9" t="str">
        <f>IFERROR(IF(Master!L68="", "", Master!L68), "")</f>
        <v>Amy</v>
      </c>
      <c r="N5" s="9" t="str">
        <f>IFERROR(IF(Master!M68="", "", Master!M68), "")</f>
        <v>Amy</v>
      </c>
      <c r="O5" s="9" t="str">
        <f>IFERROR(IF(Master!N68="", "", Master!N68), "")</f>
        <v>Amy</v>
      </c>
      <c r="P5" s="9" t="str">
        <f>IFERROR(IF(Master!O68="", "", Master!O68), "")</f>
        <v>Amy</v>
      </c>
      <c r="Q5" s="9" t="str">
        <f>IFERROR(IF(Master!P68="", "", Master!P68), "")</f>
        <v>Amy</v>
      </c>
      <c r="R5" s="9" t="str">
        <f>IFERROR(IF(Master!Q68="", "", Master!Q68), "")</f>
        <v>Amy</v>
      </c>
      <c r="S5" s="9" t="str">
        <f>IFERROR(IF(Master!R68="", "", Master!R68), "")</f>
        <v>Dicky</v>
      </c>
      <c r="T5" s="9" t="str">
        <f>IFERROR(IF(Master!S68="", "", Master!S68), "")</f>
        <v>Dicky</v>
      </c>
      <c r="U5" s="9" t="str">
        <f>IFERROR(IF(Master!T68="", "", Master!T68), "")</f>
        <v>Dicky</v>
      </c>
      <c r="V5" s="9" t="str">
        <f>IFERROR(IF(Master!U68="", "", Master!U68), "")</f>
        <v>Dicky</v>
      </c>
      <c r="W5" s="9" t="str">
        <f>IFERROR(IF(Master!V68="", "", Master!V68), "")</f>
        <v>Dicky</v>
      </c>
      <c r="X5" s="9" t="str">
        <f>IFERROR(IF(Master!W68="", "", Master!W68), "")</f>
        <v>Dicky</v>
      </c>
      <c r="Y5" s="9" t="str">
        <f>IFERROR(IF(Master!X68="", "", Master!X68), "")</f>
        <v>Dicky</v>
      </c>
      <c r="Z5" s="9" t="str">
        <f>IFERROR(IF(Master!Y68="", "", Master!Y68), "")</f>
        <v>Amy</v>
      </c>
      <c r="AA5" s="9" t="str">
        <f>IFERROR(IF(Master!Z68="", "", Master!Z68), "")</f>
        <v>Amy</v>
      </c>
      <c r="AB5" s="9" t="str">
        <f>IFERROR(IF(Master!AA68="", "", Master!AA68), "")</f>
        <v>Amy</v>
      </c>
      <c r="AC5" s="9" t="str">
        <f>IFERROR(IF(Master!AB68="", "", Master!AB68), "")</f>
        <v>Amy</v>
      </c>
      <c r="AD5" s="9" t="str">
        <f>IFERROR(IF(Master!AC68="", "", Master!AC68), "")</f>
        <v>Amy</v>
      </c>
      <c r="AE5" s="9" t="str">
        <f>IFERROR(IF(Master!AD68="", "", Master!AD68), "")</f>
        <v>Amy</v>
      </c>
      <c r="AF5" s="9" t="str">
        <f>IFERROR(IF(Master!AE68="", "", Master!AE68), "")</f>
        <v>Amy</v>
      </c>
      <c r="AG5" s="9" t="str">
        <f>IFERROR(IF(Master!AF68="", "", Master!AF68), "")</f>
        <v>Amy</v>
      </c>
    </row>
    <row r="6" spans="1:42">
      <c r="C6" s="9" t="str">
        <f>IFERROR(IF(Master!B69="", "", Master!B69), "")</f>
        <v>Ka Po</v>
      </c>
      <c r="D6" s="9" t="str">
        <f>IFERROR(IF(Master!C69="", "", Master!C69), "")</f>
        <v>Ka Po</v>
      </c>
      <c r="E6" s="9" t="str">
        <f>IFERROR(IF(Master!D69="", "", Master!D69), "")</f>
        <v>A Lam</v>
      </c>
      <c r="F6" s="9" t="str">
        <f>IFERROR(IF(Master!E69="", "", Master!E69), "")</f>
        <v>A Lam</v>
      </c>
      <c r="G6" s="9" t="str">
        <f>IFERROR(IF(Master!F69="", "", Master!F69), "")</f>
        <v>A Lam</v>
      </c>
      <c r="H6" s="9" t="str">
        <f>IFERROR(IF(Master!G69="", "", Master!G69), "")</f>
        <v>A Lam</v>
      </c>
      <c r="I6" s="9" t="str">
        <f>IFERROR(IF(Master!H69="", "", Master!H69), "")</f>
        <v>A Lam</v>
      </c>
      <c r="J6" s="9" t="str">
        <f>IFERROR(IF(Master!I69="", "", Master!I69), "")</f>
        <v>A Lam</v>
      </c>
      <c r="K6" s="9" t="str">
        <f>IFERROR(IF(Master!J69="", "", Master!J69), "")</f>
        <v>A Lam</v>
      </c>
      <c r="L6" s="9" t="str">
        <f>IFERROR(IF(Master!K69="", "", Master!K69), "")</f>
        <v>Ka Po</v>
      </c>
      <c r="M6" s="9" t="str">
        <f>IFERROR(IF(Master!L69="", "", Master!L69), "")</f>
        <v>Ka Po</v>
      </c>
      <c r="N6" s="9" t="str">
        <f>IFERROR(IF(Master!M69="", "", Master!M69), "")</f>
        <v>Ka Po</v>
      </c>
      <c r="O6" s="9" t="str">
        <f>IFERROR(IF(Master!N69="", "", Master!N69), "")</f>
        <v>Ka Po</v>
      </c>
      <c r="P6" s="9" t="str">
        <f>IFERROR(IF(Master!O69="", "", Master!O69), "")</f>
        <v>Ka Po</v>
      </c>
      <c r="Q6" s="9" t="str">
        <f>IFERROR(IF(Master!P69="", "", Master!P69), "")</f>
        <v>Ka Po</v>
      </c>
      <c r="R6" s="9" t="str">
        <f>IFERROR(IF(Master!Q69="", "", Master!Q69), "")</f>
        <v>Ka Po</v>
      </c>
      <c r="S6" s="9" t="str">
        <f>IFERROR(IF(Master!R69="", "", Master!R69), "")</f>
        <v>A Lam</v>
      </c>
      <c r="T6" s="9" t="str">
        <f>IFERROR(IF(Master!S69="", "", Master!S69), "")</f>
        <v>A Lam</v>
      </c>
      <c r="U6" s="9" t="str">
        <f>IFERROR(IF(Master!T69="", "", Master!T69), "")</f>
        <v>A Lam</v>
      </c>
      <c r="V6" s="9" t="str">
        <f>IFERROR(IF(Master!U69="", "", Master!U69), "")</f>
        <v>A Lam</v>
      </c>
      <c r="W6" s="9" t="str">
        <f>IFERROR(IF(Master!V69="", "", Master!V69), "")</f>
        <v>Katrina</v>
      </c>
      <c r="X6" s="9" t="str">
        <f>IFERROR(IF(Master!W69="", "", Master!W69), "")</f>
        <v>Katrina</v>
      </c>
      <c r="Y6" s="9" t="str">
        <f>IFERROR(IF(Master!X69="", "", Master!X69), "")</f>
        <v>Katrina</v>
      </c>
      <c r="Z6" s="9" t="str">
        <f>IFERROR(IF(Master!Y69="", "", Master!Y69), "")</f>
        <v>Ka Po</v>
      </c>
      <c r="AA6" s="9" t="str">
        <f>IFERROR(IF(Master!Z69="", "", Master!Z69), "")</f>
        <v>Ka Po</v>
      </c>
      <c r="AB6" s="9" t="str">
        <f>IFERROR(IF(Master!AA69="", "", Master!AA69), "")</f>
        <v>Ka Po</v>
      </c>
      <c r="AC6" s="9" t="str">
        <f>IFERROR(IF(Master!AB69="", "", Master!AB69), "")</f>
        <v>Ka Po</v>
      </c>
      <c r="AD6" s="9" t="str">
        <f>IFERROR(IF(Master!AC69="", "", Master!AC69), "")</f>
        <v>Ka Po</v>
      </c>
      <c r="AE6" s="9" t="str">
        <f>IFERROR(IF(Master!AD69="", "", Master!AD69), "")</f>
        <v>Ka Po</v>
      </c>
      <c r="AF6" s="9" t="str">
        <f>IFERROR(IF(Master!AE69="", "", Master!AE69), "")</f>
        <v>Ka Po</v>
      </c>
      <c r="AG6" s="9" t="str">
        <f>IFERROR(IF(Master!AF69="", "", Master!AF69), "")</f>
        <v>A Lam</v>
      </c>
    </row>
    <row r="7" spans="1:42">
      <c r="C7" s="9" t="str">
        <f>IFERROR(IF(Master!B70="", "", Master!B70), "")</f>
        <v>Katrina</v>
      </c>
      <c r="D7" s="9" t="str">
        <f>IFERROR(IF(Master!C70="", "", Master!C70), "")</f>
        <v>Katrina</v>
      </c>
      <c r="E7" s="9" t="str">
        <f>IFERROR(IF(Master!D70="", "", Master!D70), "")</f>
        <v>Melody</v>
      </c>
      <c r="F7" s="9" t="str">
        <f>IFERROR(IF(Master!E70="", "", Master!E70), "")</f>
        <v>Melody</v>
      </c>
      <c r="G7" s="9" t="str">
        <f>IFERROR(IF(Master!F70="", "", Master!F70), "")</f>
        <v>Melody</v>
      </c>
      <c r="H7" s="9" t="str">
        <f>IFERROR(IF(Master!G70="", "", Master!G70), "")</f>
        <v>Melody</v>
      </c>
      <c r="I7" s="9" t="str">
        <f>IFERROR(IF(Master!H70="", "", Master!H70), "")</f>
        <v>Melody</v>
      </c>
      <c r="J7" s="9" t="str">
        <f>IFERROR(IF(Master!I70="", "", Master!I70), "")</f>
        <v>Melody</v>
      </c>
      <c r="K7" s="9" t="str">
        <f>IFERROR(IF(Master!J70="", "", Master!J70), "")</f>
        <v>Melody</v>
      </c>
      <c r="L7" s="9" t="str">
        <f>IFERROR(IF(Master!K70="", "", Master!K70), "")</f>
        <v>Katrina</v>
      </c>
      <c r="M7" s="9" t="str">
        <f>IFERROR(IF(Master!L70="", "", Master!L70), "")</f>
        <v>Katrina</v>
      </c>
      <c r="N7" s="9" t="str">
        <f>IFERROR(IF(Master!M70="", "", Master!M70), "")</f>
        <v>Katrina</v>
      </c>
      <c r="O7" s="9" t="str">
        <f>IFERROR(IF(Master!N70="", "", Master!N70), "")</f>
        <v>Katrina</v>
      </c>
      <c r="P7" s="9" t="str">
        <f>IFERROR(IF(Master!O70="", "", Master!O70), "")</f>
        <v>A Lam</v>
      </c>
      <c r="Q7" s="9" t="str">
        <f>IFERROR(IF(Master!P70="", "", Master!P70), "")</f>
        <v>A Lam</v>
      </c>
      <c r="R7" s="9" t="str">
        <f>IFERROR(IF(Master!Q70="", "", Master!Q70), "")</f>
        <v>A Lam</v>
      </c>
      <c r="S7" s="9" t="str">
        <f>IFERROR(IF(Master!R70="", "", Master!R70), "")</f>
        <v>Melody</v>
      </c>
      <c r="T7" s="9" t="str">
        <f>IFERROR(IF(Master!S70="", "", Master!S70), "")</f>
        <v>Melody</v>
      </c>
      <c r="U7" s="9" t="str">
        <f>IFERROR(IF(Master!T70="", "", Master!T70), "")</f>
        <v>Melody</v>
      </c>
      <c r="V7" s="9" t="str">
        <f>IFERROR(IF(Master!U70="", "", Master!U70), "")</f>
        <v>Melody</v>
      </c>
      <c r="W7" s="9" t="str">
        <f>IFERROR(IF(Master!V70="", "", Master!V70), "")</f>
        <v>Melody</v>
      </c>
      <c r="X7" s="9" t="str">
        <f>IFERROR(IF(Master!W70="", "", Master!W70), "")</f>
        <v>Melody</v>
      </c>
      <c r="Y7" s="9" t="str">
        <f>IFERROR(IF(Master!X70="", "", Master!X70), "")</f>
        <v>Melody</v>
      </c>
      <c r="Z7" s="9" t="str">
        <f>IFERROR(IF(Master!Y70="", "", Master!Y70), "")</f>
        <v>Katrina</v>
      </c>
      <c r="AA7" s="9" t="str">
        <f>IFERROR(IF(Master!Z70="", "", Master!Z70), "")</f>
        <v>Katrina</v>
      </c>
      <c r="AB7" s="9" t="str">
        <f>IFERROR(IF(Master!AA70="", "", Master!AA70), "")</f>
        <v>Katrina</v>
      </c>
      <c r="AC7" s="9" t="str">
        <f>IFERROR(IF(Master!AB70="", "", Master!AB70), "")</f>
        <v>Katrina</v>
      </c>
      <c r="AD7" s="9" t="str">
        <f>IFERROR(IF(Master!AC70="", "", Master!AC70), "")</f>
        <v>Katrina</v>
      </c>
      <c r="AE7" s="9" t="str">
        <f>IFERROR(IF(Master!AD70="", "", Master!AD70), "")</f>
        <v>Katrina</v>
      </c>
      <c r="AF7" s="9" t="str">
        <f>IFERROR(IF(Master!AE70="", "", Master!AE70), "")</f>
        <v>Katrina</v>
      </c>
      <c r="AG7" s="9" t="str">
        <f>IFERROR(IF(Master!AF70="", "", Master!AF70), "")</f>
        <v>Melody</v>
      </c>
    </row>
    <row r="8" spans="1:42">
      <c r="C8" s="9" t="str">
        <f>IFERROR(IF(Master!B71="", "", Master!B71), "")</f>
        <v/>
      </c>
      <c r="D8" s="9" t="str">
        <f>IFERROR(IF(Master!C71="", "", Master!C71), "")</f>
        <v/>
      </c>
      <c r="E8" s="9" t="str">
        <f>IFERROR(IF(Master!D71="", "", Master!D71), "")</f>
        <v/>
      </c>
      <c r="F8" s="9" t="str">
        <f>IFERROR(IF(Master!E71="", "", Master!E71), "")</f>
        <v/>
      </c>
      <c r="G8" s="9" t="str">
        <f>IFERROR(IF(Master!F71="", "", Master!F71), "")</f>
        <v/>
      </c>
      <c r="H8" s="9" t="str">
        <f>IFERROR(IF(Master!G71="", "", Master!G71), "")</f>
        <v/>
      </c>
      <c r="I8" s="9" t="str">
        <f>IFERROR(IF(Master!H71="", "", Master!H71), "")</f>
        <v/>
      </c>
      <c r="J8" s="9" t="str">
        <f>IFERROR(IF(Master!I71="", "", Master!I71), "")</f>
        <v/>
      </c>
      <c r="K8" s="9" t="str">
        <f>IFERROR(IF(Master!J71="", "", Master!J71), "")</f>
        <v/>
      </c>
      <c r="L8" s="9" t="str">
        <f>IFERROR(IF(Master!K71="", "", Master!K71), "")</f>
        <v/>
      </c>
      <c r="M8" s="9" t="str">
        <f>IFERROR(IF(Master!L71="", "", Master!L71), "")</f>
        <v/>
      </c>
      <c r="N8" s="9" t="str">
        <f>IFERROR(IF(Master!M71="", "", Master!M71), "")</f>
        <v/>
      </c>
      <c r="O8" s="9" t="str">
        <f>IFERROR(IF(Master!N71="", "", Master!N71), "")</f>
        <v/>
      </c>
      <c r="P8" s="9" t="str">
        <f>IFERROR(IF(Master!O71="", "", Master!O71), "")</f>
        <v/>
      </c>
      <c r="Q8" s="9" t="str">
        <f>IFERROR(IF(Master!P71="", "", Master!P71), "")</f>
        <v/>
      </c>
      <c r="R8" s="9" t="str">
        <f>IFERROR(IF(Master!Q71="", "", Master!Q71), "")</f>
        <v/>
      </c>
      <c r="S8" s="9" t="str">
        <f>IFERROR(IF(Master!R71="", "", Master!R71), "")</f>
        <v/>
      </c>
      <c r="T8" s="9" t="str">
        <f>IFERROR(IF(Master!S71="", "", Master!S71), "")</f>
        <v/>
      </c>
      <c r="U8" s="9" t="str">
        <f>IFERROR(IF(Master!T71="", "", Master!T71), "")</f>
        <v/>
      </c>
      <c r="V8" s="9" t="str">
        <f>IFERROR(IF(Master!U71="", "", Master!U71), "")</f>
        <v/>
      </c>
      <c r="W8" s="9" t="str">
        <f>IFERROR(IF(Master!V71="", "", Master!V71), "")</f>
        <v/>
      </c>
      <c r="X8" s="9" t="str">
        <f>IFERROR(IF(Master!W71="", "", Master!W71), "")</f>
        <v/>
      </c>
      <c r="Y8" s="9" t="str">
        <f>IFERROR(IF(Master!X71="", "", Master!X71), "")</f>
        <v/>
      </c>
      <c r="Z8" s="9" t="str">
        <f>IFERROR(IF(Master!Y71="", "", Master!Y71), "")</f>
        <v/>
      </c>
      <c r="AA8" s="9" t="str">
        <f>IFERROR(IF(Master!Z71="", "", Master!Z71), "")</f>
        <v/>
      </c>
      <c r="AB8" s="9" t="str">
        <f>IFERROR(IF(Master!AA71="", "", Master!AA71), "")</f>
        <v/>
      </c>
      <c r="AC8" s="9" t="str">
        <f>IFERROR(IF(Master!AB71="", "", Master!AB71), "")</f>
        <v/>
      </c>
      <c r="AD8" s="9" t="str">
        <f>IFERROR(IF(Master!AC71="", "", Master!AC71), "")</f>
        <v/>
      </c>
      <c r="AE8" s="9" t="str">
        <f>IFERROR(IF(Master!AD71="", "", Master!AD71), "")</f>
        <v/>
      </c>
      <c r="AF8" s="9" t="str">
        <f>IFERROR(IF(Master!AE71="", "", Master!AE71), "")</f>
        <v/>
      </c>
      <c r="AG8" s="9" t="str">
        <f>IFERROR(IF(Master!AF71="", "", Master!AF71), "")</f>
        <v/>
      </c>
    </row>
    <row r="9" spans="1:42">
      <c r="C9" s="9" t="str">
        <f>IFERROR(IF(Master!B72="", "", Master!B72), "")</f>
        <v>Amy</v>
      </c>
      <c r="D9" s="9" t="str">
        <f>IFERROR(IF(Master!C72="", "", Master!C72), "")</f>
        <v>Amy</v>
      </c>
      <c r="E9" s="9" t="str">
        <f>IFERROR(IF(Master!D72="", "", Master!D72), "")</f>
        <v>Amy</v>
      </c>
      <c r="F9" s="9" t="str">
        <f>IFERROR(IF(Master!E72="", "", Master!E72), "")</f>
        <v>Amy</v>
      </c>
      <c r="G9" s="9" t="str">
        <f>IFERROR(IF(Master!F72="", "", Master!F72), "")</f>
        <v>Amy</v>
      </c>
      <c r="H9" s="9" t="str">
        <f>IFERROR(IF(Master!G72="", "", Master!G72), "")</f>
        <v>Amy</v>
      </c>
      <c r="I9" s="9" t="str">
        <f>IFERROR(IF(Master!H72="", "", Master!H72), "")</f>
        <v>Amy</v>
      </c>
      <c r="J9" s="9" t="str">
        <f>IFERROR(IF(Master!I72="", "", Master!I72), "")</f>
        <v>Amy</v>
      </c>
      <c r="K9" s="9" t="str">
        <f>IFERROR(IF(Master!J72="", "", Master!J72), "")</f>
        <v>Amy</v>
      </c>
      <c r="L9" s="9" t="str">
        <f>IFERROR(IF(Master!K72="", "", Master!K72), "")</f>
        <v/>
      </c>
      <c r="M9" s="9" t="str">
        <f>IFERROR(IF(Master!L72="", "", Master!L72), "")</f>
        <v/>
      </c>
      <c r="N9" s="9" t="str">
        <f>IFERROR(IF(Master!M72="", "", Master!M72), "")</f>
        <v/>
      </c>
      <c r="O9" s="9" t="str">
        <f>IFERROR(IF(Master!N72="", "", Master!N72), "")</f>
        <v/>
      </c>
      <c r="P9" s="9" t="str">
        <f>IFERROR(IF(Master!O72="", "", Master!O72), "")</f>
        <v/>
      </c>
      <c r="Q9" s="9" t="str">
        <f>IFERROR(IF(Master!P72="", "", Master!P72), "")</f>
        <v/>
      </c>
      <c r="R9" s="9" t="str">
        <f>IFERROR(IF(Master!Q72="", "", Master!Q72), "")</f>
        <v/>
      </c>
      <c r="S9" s="9" t="str">
        <f>IFERROR(IF(Master!R72="", "", Master!R72), "")</f>
        <v/>
      </c>
      <c r="T9" s="9" t="str">
        <f>IFERROR(IF(Master!S72="", "", Master!S72), "")</f>
        <v/>
      </c>
      <c r="U9" s="9" t="str">
        <f>IFERROR(IF(Master!T72="", "", Master!T72), "")</f>
        <v/>
      </c>
      <c r="V9" s="9" t="str">
        <f>IFERROR(IF(Master!U72="", "", Master!U72), "")</f>
        <v/>
      </c>
      <c r="W9" s="9" t="str">
        <f>IFERROR(IF(Master!V72="", "", Master!V72), "")</f>
        <v/>
      </c>
      <c r="X9" s="9" t="str">
        <f>IFERROR(IF(Master!W72="", "", Master!W72), "")</f>
        <v/>
      </c>
      <c r="Y9" s="9" t="str">
        <f>IFERROR(IF(Master!X72="", "", Master!X72), "")</f>
        <v/>
      </c>
      <c r="Z9" s="9" t="str">
        <f>IFERROR(IF(Master!Y72="", "", Master!Y72), "")</f>
        <v>Dicky</v>
      </c>
      <c r="AA9" s="9" t="str">
        <f>IFERROR(IF(Master!Z72="", "", Master!Z72), "")</f>
        <v>Dicky</v>
      </c>
      <c r="AB9" s="9" t="str">
        <f>IFERROR(IF(Master!AA72="", "", Master!AA72), "")</f>
        <v>Dicky</v>
      </c>
      <c r="AC9" s="9" t="str">
        <f>IFERROR(IF(Master!AB72="", "", Master!AB72), "")</f>
        <v>Dicky</v>
      </c>
      <c r="AD9" s="9" t="str">
        <f>IFERROR(IF(Master!AC72="", "", Master!AC72), "")</f>
        <v>Dicky</v>
      </c>
      <c r="AE9" s="9" t="str">
        <f>IFERROR(IF(Master!AD72="", "", Master!AD72), "")</f>
        <v>Dicky</v>
      </c>
      <c r="AF9" s="9" t="str">
        <f>IFERROR(IF(Master!AE72="", "", Master!AE72), "")</f>
        <v>Dicky</v>
      </c>
      <c r="AG9" s="9" t="str">
        <f>IFERROR(IF(Master!AF72="", "", Master!AF72), "")</f>
        <v>Dicky</v>
      </c>
    </row>
    <row r="10" spans="1:42">
      <c r="C10" s="9" t="str">
        <f>IFERROR(IF(Master!B73="", "", Master!B73), "")</f>
        <v/>
      </c>
      <c r="D10" s="9" t="str">
        <f>IFERROR(IF(Master!C73="", "", Master!C73), "")</f>
        <v/>
      </c>
      <c r="E10" s="9" t="str">
        <f>IFERROR(IF(Master!D73="", "", Master!D73), "")</f>
        <v/>
      </c>
      <c r="F10" s="9" t="str">
        <f>IFERROR(IF(Master!E73="", "", Master!E73), "")</f>
        <v/>
      </c>
      <c r="G10" s="9" t="str">
        <f>IFERROR(IF(Master!F73="", "", Master!F73), "")</f>
        <v/>
      </c>
      <c r="H10" s="9" t="str">
        <f>IFERROR(IF(Master!G73="", "", Master!G73), "")</f>
        <v/>
      </c>
      <c r="I10" s="9" t="str">
        <f>IFERROR(IF(Master!H73="", "", Master!H73), "")</f>
        <v/>
      </c>
      <c r="J10" s="9" t="str">
        <f>IFERROR(IF(Master!I73="", "", Master!I73), "")</f>
        <v/>
      </c>
      <c r="K10" s="9" t="str">
        <f>IFERROR(IF(Master!J73="", "", Master!J73), "")</f>
        <v/>
      </c>
      <c r="L10" s="9" t="str">
        <f>IFERROR(IF(Master!K73="", "", Master!K73), "")</f>
        <v/>
      </c>
      <c r="M10" s="9" t="str">
        <f>IFERROR(IF(Master!L73="", "", Master!L73), "")</f>
        <v/>
      </c>
      <c r="N10" s="9" t="str">
        <f>IFERROR(IF(Master!M73="", "", Master!M73), "")</f>
        <v/>
      </c>
      <c r="O10" s="9" t="str">
        <f>IFERROR(IF(Master!N73="", "", Master!N73), "")</f>
        <v/>
      </c>
      <c r="P10" s="9" t="str">
        <f>IFERROR(IF(Master!O73="", "", Master!O73), "")</f>
        <v/>
      </c>
      <c r="Q10" s="9" t="str">
        <f>IFERROR(IF(Master!P73="", "", Master!P73), "")</f>
        <v/>
      </c>
      <c r="R10" s="9" t="str">
        <f>IFERROR(IF(Master!Q73="", "", Master!Q73), "")</f>
        <v/>
      </c>
      <c r="S10" s="9" t="str">
        <f>IFERROR(IF(Master!R73="", "", Master!R73), "")</f>
        <v/>
      </c>
      <c r="T10" s="9" t="str">
        <f>IFERROR(IF(Master!S73="", "", Master!S73), "")</f>
        <v/>
      </c>
      <c r="U10" s="9" t="str">
        <f>IFERROR(IF(Master!T73="", "", Master!T73), "")</f>
        <v/>
      </c>
      <c r="V10" s="9" t="str">
        <f>IFERROR(IF(Master!U73="", "", Master!U73), "")</f>
        <v/>
      </c>
      <c r="W10" s="9" t="str">
        <f>IFERROR(IF(Master!V73="", "", Master!V73), "")</f>
        <v/>
      </c>
      <c r="X10" s="9" t="str">
        <f>IFERROR(IF(Master!W73="", "", Master!W73), "")</f>
        <v/>
      </c>
      <c r="Y10" s="9" t="str">
        <f>IFERROR(IF(Master!X73="", "", Master!X73), "")</f>
        <v/>
      </c>
      <c r="Z10" s="9" t="str">
        <f>IFERROR(IF(Master!Y73="", "", Master!Y73), "")</f>
        <v/>
      </c>
      <c r="AA10" s="9" t="str">
        <f>IFERROR(IF(Master!Z73="", "", Master!Z73), "")</f>
        <v/>
      </c>
      <c r="AB10" s="9" t="str">
        <f>IFERROR(IF(Master!AA73="", "", Master!AA73), "")</f>
        <v/>
      </c>
      <c r="AC10" s="9" t="str">
        <f>IFERROR(IF(Master!AB73="", "", Master!AB73), "")</f>
        <v/>
      </c>
      <c r="AD10" s="9" t="str">
        <f>IFERROR(IF(Master!AC73="", "", Master!AC73), "")</f>
        <v/>
      </c>
      <c r="AE10" s="9" t="str">
        <f>IFERROR(IF(Master!AD73="", "", Master!AD73), "")</f>
        <v/>
      </c>
      <c r="AF10" s="9" t="str">
        <f>IFERROR(IF(Master!AE73="", "", Master!AE73), "")</f>
        <v/>
      </c>
      <c r="AG10" s="9" t="str">
        <f>IFERROR(IF(Master!AF73="", "", Master!AF73),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31</v>
      </c>
      <c r="D13" s="12">
        <f t="shared" ref="D13:AG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32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33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34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35</v>
      </c>
      <c r="AF13" s="12">
        <f t="shared" si="1"/>
        <v>0</v>
      </c>
      <c r="AG13" s="12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46235</v>
      </c>
      <c r="D16" s="72">
        <f t="shared" si="2"/>
        <v>46236</v>
      </c>
      <c r="E16" s="72">
        <f t="shared" si="2"/>
        <v>46237</v>
      </c>
      <c r="F16" s="72">
        <f t="shared" si="2"/>
        <v>46238</v>
      </c>
      <c r="G16" s="72">
        <f t="shared" si="2"/>
        <v>46239</v>
      </c>
      <c r="H16" s="72">
        <f t="shared" si="2"/>
        <v>46240</v>
      </c>
      <c r="I16" s="72">
        <f t="shared" si="2"/>
        <v>46241</v>
      </c>
      <c r="J16" s="72">
        <f t="shared" si="2"/>
        <v>46242</v>
      </c>
      <c r="K16" s="72">
        <f t="shared" si="2"/>
        <v>46243</v>
      </c>
      <c r="L16" s="72">
        <f t="shared" si="2"/>
        <v>46244</v>
      </c>
      <c r="M16" s="72">
        <f t="shared" si="2"/>
        <v>46245</v>
      </c>
      <c r="N16" s="72">
        <f t="shared" si="2"/>
        <v>46246</v>
      </c>
      <c r="O16" s="72">
        <f t="shared" si="2"/>
        <v>46247</v>
      </c>
      <c r="P16" s="72">
        <f t="shared" si="2"/>
        <v>46248</v>
      </c>
      <c r="Q16" s="72">
        <f t="shared" si="2"/>
        <v>46249</v>
      </c>
      <c r="R16" s="72">
        <f t="shared" si="2"/>
        <v>46250</v>
      </c>
      <c r="S16" s="72">
        <f t="shared" si="2"/>
        <v>46251</v>
      </c>
      <c r="T16" s="72">
        <f t="shared" si="2"/>
        <v>46252</v>
      </c>
      <c r="U16" s="72">
        <f t="shared" si="2"/>
        <v>46253</v>
      </c>
      <c r="V16" s="72">
        <f t="shared" si="2"/>
        <v>46254</v>
      </c>
      <c r="W16" s="72">
        <f t="shared" si="2"/>
        <v>46255</v>
      </c>
      <c r="X16" s="72">
        <f t="shared" si="2"/>
        <v>46256</v>
      </c>
      <c r="Y16" s="72">
        <f t="shared" si="2"/>
        <v>46257</v>
      </c>
      <c r="Z16" s="72">
        <f t="shared" si="2"/>
        <v>46258</v>
      </c>
      <c r="AA16" s="72">
        <f t="shared" si="2"/>
        <v>46259</v>
      </c>
      <c r="AB16" s="72">
        <f t="shared" si="2"/>
        <v>46260</v>
      </c>
      <c r="AC16" s="72">
        <f t="shared" si="2"/>
        <v>46261</v>
      </c>
      <c r="AD16" s="72">
        <f t="shared" si="2"/>
        <v>46262</v>
      </c>
      <c r="AE16" s="72">
        <f t="shared" si="2"/>
        <v>46263</v>
      </c>
      <c r="AF16" s="72">
        <f t="shared" si="2"/>
        <v>46264</v>
      </c>
      <c r="AG16" s="72">
        <f t="shared" si="2"/>
        <v>46265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Sat</v>
      </c>
      <c r="D17" s="39" t="str">
        <f t="shared" ref="D17:AG17" si="3">TEXT(D16,"ddd")</f>
        <v>Sun</v>
      </c>
      <c r="E17" s="39" t="str">
        <f t="shared" si="3"/>
        <v>Mon</v>
      </c>
      <c r="F17" s="39" t="str">
        <f t="shared" si="3"/>
        <v>Tue</v>
      </c>
      <c r="G17" s="39" t="str">
        <f t="shared" si="3"/>
        <v>Wed</v>
      </c>
      <c r="H17" s="39" t="str">
        <f t="shared" si="3"/>
        <v>Thu</v>
      </c>
      <c r="I17" s="39" t="str">
        <f t="shared" si="3"/>
        <v>Fri</v>
      </c>
      <c r="J17" s="39" t="str">
        <f t="shared" si="3"/>
        <v>Sat</v>
      </c>
      <c r="K17" s="39" t="str">
        <f t="shared" si="3"/>
        <v>Sun</v>
      </c>
      <c r="L17" s="39" t="str">
        <f t="shared" si="3"/>
        <v>Mon</v>
      </c>
      <c r="M17" s="39" t="str">
        <f t="shared" si="3"/>
        <v>Tue</v>
      </c>
      <c r="N17" s="39" t="str">
        <f t="shared" si="3"/>
        <v>Wed</v>
      </c>
      <c r="O17" s="39" t="str">
        <f t="shared" si="3"/>
        <v>Thu</v>
      </c>
      <c r="P17" s="39" t="str">
        <f t="shared" si="3"/>
        <v>Fri</v>
      </c>
      <c r="Q17" s="39" t="str">
        <f t="shared" si="3"/>
        <v>Sat</v>
      </c>
      <c r="R17" s="39" t="str">
        <f t="shared" si="3"/>
        <v>Sun</v>
      </c>
      <c r="S17" s="39" t="str">
        <f t="shared" si="3"/>
        <v>Mon</v>
      </c>
      <c r="T17" s="39" t="str">
        <f t="shared" si="3"/>
        <v>Tue</v>
      </c>
      <c r="U17" s="39" t="str">
        <f t="shared" si="3"/>
        <v>Wed</v>
      </c>
      <c r="V17" s="39" t="str">
        <f t="shared" si="3"/>
        <v>Thu</v>
      </c>
      <c r="W17" s="39" t="str">
        <f t="shared" si="3"/>
        <v>Fri</v>
      </c>
      <c r="X17" s="39" t="str">
        <f t="shared" si="3"/>
        <v>Sat</v>
      </c>
      <c r="Y17" s="39" t="str">
        <f t="shared" si="3"/>
        <v>Sun</v>
      </c>
      <c r="Z17" s="39" t="str">
        <f t="shared" si="3"/>
        <v>Mon</v>
      </c>
      <c r="AA17" s="39" t="str">
        <f t="shared" si="3"/>
        <v>Tue</v>
      </c>
      <c r="AB17" s="39" t="str">
        <f t="shared" si="3"/>
        <v>Wed</v>
      </c>
      <c r="AC17" s="39" t="str">
        <f t="shared" si="3"/>
        <v>Thu</v>
      </c>
      <c r="AD17" s="39" t="str">
        <f t="shared" si="3"/>
        <v>Fri</v>
      </c>
      <c r="AE17" s="39" t="str">
        <f t="shared" si="3"/>
        <v>Sat</v>
      </c>
      <c r="AF17" s="39" t="str">
        <f t="shared" si="3"/>
        <v>Sun</v>
      </c>
      <c r="AG17" s="39" t="str">
        <f t="shared" si="3"/>
        <v>Mon</v>
      </c>
      <c r="AK17" s="85"/>
      <c r="AL17" s="85"/>
      <c r="AM17" s="85"/>
      <c r="AN17" s="83"/>
      <c r="AO17" s="83"/>
      <c r="AP17" s="83"/>
    </row>
    <row r="18" spans="1:42" ht="23.2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HD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DO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HD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DO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HD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DO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HD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DO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HD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DO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D</v>
      </c>
      <c r="AK18" s="11" t="s">
        <v>118</v>
      </c>
      <c r="AL18" s="65">
        <f>SUMPRODUCT((C18:AG18="D")*8) + SUMPRODUCT((C18:AG18="E")*8) + SUMPRODUCT((C18:AG18="HD")*4)</f>
        <v>188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188</v>
      </c>
      <c r="AO18" s="67">
        <f>AN18-$AN$18</f>
        <v>0</v>
      </c>
      <c r="AP18" s="67">
        <f>AO18+Jul!AP18</f>
        <v>0</v>
      </c>
    </row>
    <row r="19" spans="1:42" ht="23.2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DO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DO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DO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DO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DO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DO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DO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DO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</v>
      </c>
      <c r="AK19" s="11" t="s">
        <v>21</v>
      </c>
      <c r="AL19" s="65">
        <f t="shared" ref="AL19:AL26" si="4">SUMPRODUCT((C19:AG19="D")*8) + SUMPRODUCT((C19:AG19="E")*8) + SUMPRODUCT((C19:AG19="HD")*4)</f>
        <v>184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184</v>
      </c>
      <c r="AO19" s="67">
        <f t="shared" ref="AO19:AO31" si="6">AN19-$AN$18</f>
        <v>-4</v>
      </c>
      <c r="AP19" s="67">
        <f>AO19+Jul!AP19</f>
        <v>-8</v>
      </c>
    </row>
    <row r="20" spans="1:42" ht="23.2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HD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DO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HD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DO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HD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DO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HD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DO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HD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DO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D</v>
      </c>
      <c r="AK20" s="11" t="s">
        <v>119</v>
      </c>
      <c r="AL20" s="65">
        <f t="shared" si="4"/>
        <v>188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188</v>
      </c>
      <c r="AO20" s="67">
        <f t="shared" si="6"/>
        <v>0</v>
      </c>
      <c r="AP20" s="67">
        <f>AO20+Jul!AP20</f>
        <v>0</v>
      </c>
    </row>
    <row r="21" spans="1:42" ht="23.2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DO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E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E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E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E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DO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DO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DO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E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E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E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D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DO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AL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AL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AL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AL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AL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DO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DO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AL</v>
      </c>
      <c r="AK21" s="11" t="s">
        <v>24</v>
      </c>
      <c r="AL21" s="65">
        <f t="shared" si="4"/>
        <v>144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48</v>
      </c>
      <c r="AN21" s="68">
        <f t="shared" si="5"/>
        <v>192</v>
      </c>
      <c r="AO21" s="67">
        <f t="shared" si="6"/>
        <v>4</v>
      </c>
      <c r="AP21" s="67">
        <f>AO21+Jul!AP21</f>
        <v>-8</v>
      </c>
    </row>
    <row r="22" spans="1:42" ht="23.2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DO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DO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AL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AL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AL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AL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AL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DO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DO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E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DO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DO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DO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E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E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E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E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E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D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DO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E</v>
      </c>
      <c r="AK22" s="11" t="s">
        <v>22</v>
      </c>
      <c r="AL22" s="65">
        <f t="shared" si="4"/>
        <v>144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40</v>
      </c>
      <c r="AN22" s="68">
        <f t="shared" si="5"/>
        <v>184</v>
      </c>
      <c r="AO22" s="67">
        <f t="shared" si="6"/>
        <v>-4</v>
      </c>
      <c r="AP22" s="67">
        <f>AO22+Jul!AP22</f>
        <v>0</v>
      </c>
    </row>
    <row r="23" spans="1:42" ht="23.2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DO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DO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E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E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E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DO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E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DO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E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E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E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DO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DO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DO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DO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E</v>
      </c>
      <c r="AK23" s="11" t="s">
        <v>23</v>
      </c>
      <c r="AL23" s="65">
        <f t="shared" si="4"/>
        <v>184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184</v>
      </c>
      <c r="AO23" s="67">
        <f t="shared" si="6"/>
        <v>-4</v>
      </c>
      <c r="AP23" s="67">
        <f>AO23+Jul!AP23</f>
        <v>0</v>
      </c>
    </row>
    <row r="24" spans="1:42" ht="23.2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DO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DO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DO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E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E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E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E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E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D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DO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DO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DO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E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E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E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D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DO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D</v>
      </c>
      <c r="AK24" s="11" t="s">
        <v>25</v>
      </c>
      <c r="AL24" s="65">
        <f t="shared" si="4"/>
        <v>192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192</v>
      </c>
      <c r="AO24" s="67">
        <f t="shared" si="6"/>
        <v>4</v>
      </c>
      <c r="AP24" s="67">
        <f>AO24+Jul!AP24</f>
        <v>0</v>
      </c>
    </row>
    <row r="25" spans="1:42" ht="23.2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DO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DO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E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E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E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E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E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DO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DO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DO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E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E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E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E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DO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DO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DO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E</v>
      </c>
      <c r="AK25" s="11" t="s">
        <v>27</v>
      </c>
      <c r="AL25" s="65">
        <f t="shared" si="4"/>
        <v>184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184</v>
      </c>
      <c r="AO25" s="67">
        <f t="shared" si="6"/>
        <v>-4</v>
      </c>
      <c r="AP25" s="67">
        <f>AO25+Jul!AP25</f>
        <v>-8</v>
      </c>
    </row>
    <row r="26" spans="1:42" ht="23.2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DO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DO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DO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E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E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E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DO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DO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E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DO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E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E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E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E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E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DO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</v>
      </c>
      <c r="AK26" s="11" t="s">
        <v>26</v>
      </c>
      <c r="AL26" s="65">
        <f t="shared" si="4"/>
        <v>192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192</v>
      </c>
      <c r="AO26" s="67">
        <f t="shared" si="6"/>
        <v>4</v>
      </c>
      <c r="AP26" s="67">
        <f>AO26+Jul!AP26</f>
        <v>16</v>
      </c>
    </row>
    <row r="27" spans="1:42" ht="23.2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HD2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DO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DO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DO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HD2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DO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B6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DO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DO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HD2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DO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B6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AO27+Jul!AP27</f>
        <v>0</v>
      </c>
    </row>
    <row r="28" spans="1:42" ht="23.2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DO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DO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HD2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DO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DO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DO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D1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HD2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DO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DO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DO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D1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AO28+Jul!AP28</f>
        <v>0</v>
      </c>
    </row>
    <row r="29" spans="1:42" ht="23.2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AO29+Jul!AP29</f>
        <v>0</v>
      </c>
    </row>
    <row r="30" spans="1:42" ht="23.2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AO30+Jul!AP30</f>
        <v>0</v>
      </c>
    </row>
    <row r="31" spans="1:42" ht="23.2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HD1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DO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HD1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DO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HD1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DO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HD1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DO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HD1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DO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D</v>
      </c>
      <c r="AK31" s="11" t="s">
        <v>136</v>
      </c>
      <c r="AL31" s="11">
        <f>SUMPRODUCT((C31:AG31="D")*8) + SUMPRODUCT((C31:AG31="E")*8) + SUMPRODUCT((C31:AG31="HD1")*4)</f>
        <v>188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188</v>
      </c>
      <c r="AO31" s="67">
        <f t="shared" si="6"/>
        <v>0</v>
      </c>
      <c r="AP31" s="67">
        <f>AO31+Jul!AP31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3">
    <cfRule type="expression" dxfId="94" priority="40">
      <formula>B$61="sun"</formula>
    </cfRule>
  </conditionalFormatting>
  <conditionalFormatting sqref="C3:AG10">
    <cfRule type="expression" dxfId="91" priority="46">
      <formula>WEEKDAY(C3,2)=7</formula>
    </cfRule>
  </conditionalFormatting>
  <conditionalFormatting sqref="C4:AG10">
    <cfRule type="expression" dxfId="90" priority="43">
      <formula>C$4="Sun"</formula>
    </cfRule>
  </conditionalFormatting>
  <conditionalFormatting sqref="C5:AG10">
    <cfRule type="expression" dxfId="89" priority="42">
      <formula>B$61="sun"</formula>
    </cfRule>
  </conditionalFormatting>
  <conditionalFormatting sqref="C17:AG17">
    <cfRule type="expression" dxfId="86" priority="28">
      <formula>C$17="sun"</formula>
    </cfRule>
    <cfRule type="expression" dxfId="85" priority="29">
      <formula>C$17="sat"</formula>
    </cfRule>
  </conditionalFormatting>
  <conditionalFormatting sqref="C18:AG31">
    <cfRule type="expression" dxfId="84" priority="1">
      <formula>C18="HDAL"</formula>
    </cfRule>
    <cfRule type="expression" dxfId="83" priority="2">
      <formula>C18="PH"</formula>
    </cfRule>
    <cfRule type="expression" dxfId="82" priority="3">
      <formula>C18="AL"</formula>
    </cfRule>
    <cfRule type="expression" dxfId="80" priority="5">
      <formula>C18="DO"</formula>
    </cfRule>
  </conditionalFormatting>
  <conditionalFormatting sqref="AO18:AP31">
    <cfRule type="expression" dxfId="79" priority="6">
      <formula>AO18&gt;0</formula>
    </cfRule>
    <cfRule type="expression" dxfId="78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EDC4C0EC-FDAC-45C3-8EFD-76919451DBEA}">
            <xm:f>COUNTIF(PH!$A:$A, C3)&gt;0</xm:f>
            <x14:dxf>
              <font>
                <color rgb="FFFF0000"/>
              </font>
            </x14:dxf>
          </x14:cfRule>
          <x14:cfRule type="expression" priority="44" id="{E43F83D4-5892-4876-8734-06E829F45D79}">
            <xm:f>AND(COUNTIF(PH!$A:$A,C3)&gt;0,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17" id="{54E64990-DB6C-400A-B1BD-9AD601741B47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18" id="{96317B03-6BD6-4523-BF7F-9FBE14A16549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86E7ED40-CAD4-478B-AA70-66B9FFB92BBE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559FA03-5CBE-4C25-9C52-599E2E66237A}">
          <x14:formula1>
            <xm:f>'On call stat'!$T$3:$T$21</xm:f>
          </x14:formula1>
          <xm:sqref>C3:AG3 C5:AG10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8AD2-734D-4784-8D5B-40D48F7B39A0}">
  <sheetPr codeName="Sheet10"/>
  <dimension ref="A1:AP48"/>
  <sheetViews>
    <sheetView topLeftCell="B17" zoomScale="55" zoomScaleNormal="55" workbookViewId="0">
      <selection activeCell="C18" sqref="C18:AF31"/>
    </sheetView>
  </sheetViews>
  <sheetFormatPr defaultRowHeight="15"/>
  <cols>
    <col min="2" max="2" width="31.28515625" customWidth="1"/>
    <col min="35" max="35" width="9.140625" style="42"/>
    <col min="36" max="36" width="0" style="42" hidden="1" customWidth="1"/>
    <col min="40" max="40" width="14.570312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IFERROR(IF(Master!B75="", "", Master!B75), "")</f>
        <v>46266</v>
      </c>
      <c r="D3" s="9">
        <f>IFERROR(IF(Master!C75="", "", Master!C75), "")</f>
        <v>46267</v>
      </c>
      <c r="E3" s="9">
        <f>IFERROR(IF(Master!D75="", "", Master!D75), "")</f>
        <v>46268</v>
      </c>
      <c r="F3" s="9">
        <f>IFERROR(IF(Master!E75="", "", Master!E75), "")</f>
        <v>46269</v>
      </c>
      <c r="G3" s="9">
        <f>IFERROR(IF(Master!F75="", "", Master!F75), "")</f>
        <v>46270</v>
      </c>
      <c r="H3" s="9">
        <f>IFERROR(IF(Master!G75="", "", Master!G75), "")</f>
        <v>46271</v>
      </c>
      <c r="I3" s="9">
        <f>IFERROR(IF(Master!H75="", "", Master!H75), "")</f>
        <v>46272</v>
      </c>
      <c r="J3" s="9">
        <f>IFERROR(IF(Master!I75="", "", Master!I75), "")</f>
        <v>46273</v>
      </c>
      <c r="K3" s="9">
        <f>IFERROR(IF(Master!J75="", "", Master!J75), "")</f>
        <v>46274</v>
      </c>
      <c r="L3" s="9">
        <f>IFERROR(IF(Master!K75="", "", Master!K75), "")</f>
        <v>46275</v>
      </c>
      <c r="M3" s="9">
        <f>IFERROR(IF(Master!L75="", "", Master!L75), "")</f>
        <v>46276</v>
      </c>
      <c r="N3" s="9">
        <f>IFERROR(IF(Master!M75="", "", Master!M75), "")</f>
        <v>46277</v>
      </c>
      <c r="O3" s="9">
        <f>IFERROR(IF(Master!N75="", "", Master!N75), "")</f>
        <v>46278</v>
      </c>
      <c r="P3" s="9">
        <f>IFERROR(IF(Master!O75="", "", Master!O75), "")</f>
        <v>46279</v>
      </c>
      <c r="Q3" s="9">
        <f>IFERROR(IF(Master!P75="", "", Master!P75), "")</f>
        <v>46280</v>
      </c>
      <c r="R3" s="9">
        <f>IFERROR(IF(Master!Q75="", "", Master!Q75), "")</f>
        <v>46281</v>
      </c>
      <c r="S3" s="9">
        <f>IFERROR(IF(Master!R75="", "", Master!R75), "")</f>
        <v>46282</v>
      </c>
      <c r="T3" s="9">
        <f>IFERROR(IF(Master!S75="", "", Master!S75), "")</f>
        <v>46283</v>
      </c>
      <c r="U3" s="9">
        <f>IFERROR(IF(Master!T75="", "", Master!T75), "")</f>
        <v>46284</v>
      </c>
      <c r="V3" s="9">
        <f>IFERROR(IF(Master!U75="", "", Master!U75), "")</f>
        <v>46285</v>
      </c>
      <c r="W3" s="9">
        <f>IFERROR(IF(Master!V75="", "", Master!V75), "")</f>
        <v>46286</v>
      </c>
      <c r="X3" s="9">
        <f>IFERROR(IF(Master!W75="", "", Master!W75), "")</f>
        <v>46287</v>
      </c>
      <c r="Y3" s="9">
        <f>IFERROR(IF(Master!X75="", "", Master!X75), "")</f>
        <v>46288</v>
      </c>
      <c r="Z3" s="9">
        <f>IFERROR(IF(Master!Y75="", "", Master!Y75), "")</f>
        <v>46289</v>
      </c>
      <c r="AA3" s="9">
        <f>IFERROR(IF(Master!Z75="", "", Master!Z75), "")</f>
        <v>46290</v>
      </c>
      <c r="AB3" s="9">
        <f>IFERROR(IF(Master!AA75="", "", Master!AA75), "")</f>
        <v>46291</v>
      </c>
      <c r="AC3" s="9">
        <f>IFERROR(IF(Master!AB75="", "", Master!AB75), "")</f>
        <v>46292</v>
      </c>
      <c r="AD3" s="9">
        <f>IFERROR(IF(Master!AC75="", "", Master!AC75), "")</f>
        <v>46293</v>
      </c>
      <c r="AE3" s="9">
        <f>IFERROR(IF(Master!AD75="", "", Master!AD75), "")</f>
        <v>46294</v>
      </c>
      <c r="AF3" s="49">
        <f>IFERROR(IF(Master!AE75="", "", Master!AE75), "")</f>
        <v>46295</v>
      </c>
    </row>
    <row r="4" spans="1:42">
      <c r="C4" s="13" t="str">
        <f t="shared" ref="C4:AF4" si="0">TEXT(C3,"ddd")</f>
        <v>Tue</v>
      </c>
      <c r="D4" s="13" t="str">
        <f t="shared" si="0"/>
        <v>Wed</v>
      </c>
      <c r="E4" s="13" t="str">
        <f t="shared" si="0"/>
        <v>Thu</v>
      </c>
      <c r="F4" s="13" t="str">
        <f t="shared" si="0"/>
        <v>Fri</v>
      </c>
      <c r="G4" s="13" t="str">
        <f t="shared" si="0"/>
        <v>Sat</v>
      </c>
      <c r="H4" s="13" t="str">
        <f t="shared" si="0"/>
        <v>Sun</v>
      </c>
      <c r="I4" s="13" t="str">
        <f t="shared" si="0"/>
        <v>Mon</v>
      </c>
      <c r="J4" s="13" t="str">
        <f t="shared" si="0"/>
        <v>Tue</v>
      </c>
      <c r="K4" s="13" t="str">
        <f t="shared" si="0"/>
        <v>Wed</v>
      </c>
      <c r="L4" s="13" t="str">
        <f t="shared" si="0"/>
        <v>Thu</v>
      </c>
      <c r="M4" s="13" t="str">
        <f t="shared" si="0"/>
        <v>Fri</v>
      </c>
      <c r="N4" s="13" t="str">
        <f t="shared" si="0"/>
        <v>Sat</v>
      </c>
      <c r="O4" s="13" t="str">
        <f t="shared" si="0"/>
        <v>Sun</v>
      </c>
      <c r="P4" s="13" t="str">
        <f t="shared" si="0"/>
        <v>Mon</v>
      </c>
      <c r="Q4" s="13" t="str">
        <f t="shared" si="0"/>
        <v>Tue</v>
      </c>
      <c r="R4" s="13" t="str">
        <f t="shared" si="0"/>
        <v>Wed</v>
      </c>
      <c r="S4" s="13" t="str">
        <f t="shared" si="0"/>
        <v>Thu</v>
      </c>
      <c r="T4" s="13" t="str">
        <f t="shared" si="0"/>
        <v>Fri</v>
      </c>
      <c r="U4" s="13" t="str">
        <f t="shared" si="0"/>
        <v>Sat</v>
      </c>
      <c r="V4" s="13" t="str">
        <f t="shared" si="0"/>
        <v>Sun</v>
      </c>
      <c r="W4" s="13" t="str">
        <f t="shared" si="0"/>
        <v>Mon</v>
      </c>
      <c r="X4" s="13" t="str">
        <f t="shared" si="0"/>
        <v>Tue</v>
      </c>
      <c r="Y4" s="13" t="str">
        <f t="shared" si="0"/>
        <v>Wed</v>
      </c>
      <c r="Z4" s="13" t="str">
        <f t="shared" si="0"/>
        <v>Thu</v>
      </c>
      <c r="AA4" s="13" t="str">
        <f t="shared" si="0"/>
        <v>Fri</v>
      </c>
      <c r="AB4" s="13" t="str">
        <f t="shared" si="0"/>
        <v>Sat</v>
      </c>
      <c r="AC4" s="13" t="str">
        <f t="shared" si="0"/>
        <v>Sun</v>
      </c>
      <c r="AD4" s="13" t="str">
        <f t="shared" si="0"/>
        <v>Mon</v>
      </c>
      <c r="AE4" s="13" t="str">
        <f t="shared" si="0"/>
        <v>Tue</v>
      </c>
      <c r="AF4" s="57" t="str">
        <f t="shared" si="0"/>
        <v>Wed</v>
      </c>
    </row>
    <row r="5" spans="1:42">
      <c r="C5" s="9" t="str">
        <f>IFERROR(IF(Master!B77="", "", Master!B77), "")</f>
        <v>Amy</v>
      </c>
      <c r="D5" s="9" t="str">
        <f>IFERROR(IF(Master!C77="", "", Master!C77), "")</f>
        <v>Amy</v>
      </c>
      <c r="E5" s="9" t="str">
        <f>IFERROR(IF(Master!D77="", "", Master!D77), "")</f>
        <v>Amy</v>
      </c>
      <c r="F5" s="9" t="str">
        <f>IFERROR(IF(Master!E77="", "", Master!E77), "")</f>
        <v>Amy</v>
      </c>
      <c r="G5" s="9" t="str">
        <f>IFERROR(IF(Master!F77="", "", Master!F77), "")</f>
        <v>Amy</v>
      </c>
      <c r="H5" s="9" t="str">
        <f>IFERROR(IF(Master!G77="", "", Master!G77), "")</f>
        <v>Amy</v>
      </c>
      <c r="I5" s="9" t="str">
        <f>IFERROR(IF(Master!H77="", "", Master!H77), "")</f>
        <v>Dicky</v>
      </c>
      <c r="J5" s="9" t="str">
        <f>IFERROR(IF(Master!I77="", "", Master!I77), "")</f>
        <v>Dicky</v>
      </c>
      <c r="K5" s="9" t="str">
        <f>IFERROR(IF(Master!J77="", "", Master!J77), "")</f>
        <v>Dicky</v>
      </c>
      <c r="L5" s="9" t="str">
        <f>IFERROR(IF(Master!K77="", "", Master!K77), "")</f>
        <v>Dicky</v>
      </c>
      <c r="M5" s="9" t="str">
        <f>IFERROR(IF(Master!L77="", "", Master!L77), "")</f>
        <v>Dicky</v>
      </c>
      <c r="N5" s="9" t="str">
        <f>IFERROR(IF(Master!M77="", "", Master!M77), "")</f>
        <v>Dicky</v>
      </c>
      <c r="O5" s="9" t="str">
        <f>IFERROR(IF(Master!N77="", "", Master!N77), "")</f>
        <v>Dicky</v>
      </c>
      <c r="P5" s="9" t="str">
        <f>IFERROR(IF(Master!O77="", "", Master!O77), "")</f>
        <v>Dicky</v>
      </c>
      <c r="Q5" s="9" t="str">
        <f>IFERROR(IF(Master!P77="", "", Master!P77), "")</f>
        <v>Dicky</v>
      </c>
      <c r="R5" s="9" t="str">
        <f>IFERROR(IF(Master!Q77="", "", Master!Q77), "")</f>
        <v>Dicky</v>
      </c>
      <c r="S5" s="9" t="str">
        <f>IFERROR(IF(Master!R77="", "", Master!R77), "")</f>
        <v>Dicky</v>
      </c>
      <c r="T5" s="9" t="str">
        <f>IFERROR(IF(Master!S77="", "", Master!S77), "")</f>
        <v>Dicky</v>
      </c>
      <c r="U5" s="9" t="str">
        <f>IFERROR(IF(Master!T77="", "", Master!T77), "")</f>
        <v>Dicky</v>
      </c>
      <c r="V5" s="9" t="str">
        <f>IFERROR(IF(Master!U77="", "", Master!U77), "")</f>
        <v>Dicky</v>
      </c>
      <c r="W5" s="9" t="str">
        <f>IFERROR(IF(Master!V77="", "", Master!V77), "")</f>
        <v>Amy</v>
      </c>
      <c r="X5" s="9" t="str">
        <f>IFERROR(IF(Master!W77="", "", Master!W77), "")</f>
        <v>Amy</v>
      </c>
      <c r="Y5" s="9" t="str">
        <f>IFERROR(IF(Master!X77="", "", Master!X77), "")</f>
        <v>Amy</v>
      </c>
      <c r="Z5" s="9" t="str">
        <f>IFERROR(IF(Master!Y77="", "", Master!Y77), "")</f>
        <v>Amy</v>
      </c>
      <c r="AA5" s="9" t="str">
        <f>IFERROR(IF(Master!Z77="", "", Master!Z77), "")</f>
        <v>Amy</v>
      </c>
      <c r="AB5" s="9" t="str">
        <f>IFERROR(IF(Master!AA77="", "", Master!AA77), "")</f>
        <v>Amy</v>
      </c>
      <c r="AC5" s="9" t="str">
        <f>IFERROR(IF(Master!AB77="", "", Master!AB77), "")</f>
        <v>Amy</v>
      </c>
      <c r="AD5" s="9" t="str">
        <f>IFERROR(IF(Master!AC77="", "", Master!AC77), "")</f>
        <v>Amy</v>
      </c>
      <c r="AE5" s="9" t="str">
        <f>IFERROR(IF(Master!AD77="", "", Master!AD77), "")</f>
        <v>Amy</v>
      </c>
      <c r="AF5" s="49" t="str">
        <f>IFERROR(IF(Master!AE77="", "", Master!AE77), "")</f>
        <v>Amy</v>
      </c>
    </row>
    <row r="6" spans="1:42">
      <c r="C6" s="9" t="str">
        <f>IFERROR(IF(Master!B78="", "", Master!B78), "")</f>
        <v>A Lam</v>
      </c>
      <c r="D6" s="9" t="str">
        <f>IFERROR(IF(Master!C78="", "", Master!C78), "")</f>
        <v>A Lam</v>
      </c>
      <c r="E6" s="9" t="str">
        <f>IFERROR(IF(Master!D78="", "", Master!D78), "")</f>
        <v>A Lam</v>
      </c>
      <c r="F6" s="9" t="str">
        <f>IFERROR(IF(Master!E78="", "", Master!E78), "")</f>
        <v>A Lam</v>
      </c>
      <c r="G6" s="9" t="str">
        <f>IFERROR(IF(Master!F78="", "", Master!F78), "")</f>
        <v>Ka Po</v>
      </c>
      <c r="H6" s="9" t="str">
        <f>IFERROR(IF(Master!G78="", "", Master!G78), "")</f>
        <v>Ka Po</v>
      </c>
      <c r="I6" s="9" t="str">
        <f>IFERROR(IF(Master!H78="", "", Master!H78), "")</f>
        <v>Ka Po</v>
      </c>
      <c r="J6" s="9" t="str">
        <f>IFERROR(IF(Master!I78="", "", Master!I78), "")</f>
        <v>Ka Po</v>
      </c>
      <c r="K6" s="9" t="str">
        <f>IFERROR(IF(Master!J78="", "", Master!J78), "")</f>
        <v>Ka Po</v>
      </c>
      <c r="L6" s="9" t="str">
        <f>IFERROR(IF(Master!K78="", "", Master!K78), "")</f>
        <v>Ka Po</v>
      </c>
      <c r="M6" s="9" t="str">
        <f>IFERROR(IF(Master!L78="", "", Master!L78), "")</f>
        <v>Ka Po</v>
      </c>
      <c r="N6" s="9" t="str">
        <f>IFERROR(IF(Master!M78="", "", Master!M78), "")</f>
        <v>Ka Po</v>
      </c>
      <c r="O6" s="9" t="str">
        <f>IFERROR(IF(Master!N78="", "", Master!N78), "")</f>
        <v>Ka Po</v>
      </c>
      <c r="P6" s="9" t="str">
        <f>IFERROR(IF(Master!O78="", "", Master!O78), "")</f>
        <v>A Lam</v>
      </c>
      <c r="Q6" s="9" t="str">
        <f>IFERROR(IF(Master!P78="", "", Master!P78), "")</f>
        <v>A Lam</v>
      </c>
      <c r="R6" s="9" t="str">
        <f>IFERROR(IF(Master!Q78="", "", Master!Q78), "")</f>
        <v>A Lam</v>
      </c>
      <c r="S6" s="9" t="str">
        <f>IFERROR(IF(Master!R78="", "", Master!R78), "")</f>
        <v>A Lam</v>
      </c>
      <c r="T6" s="9" t="str">
        <f>IFERROR(IF(Master!S78="", "", Master!S78), "")</f>
        <v>A Lam</v>
      </c>
      <c r="U6" s="9" t="str">
        <f>IFERROR(IF(Master!T78="", "", Master!T78), "")</f>
        <v>A Lam</v>
      </c>
      <c r="V6" s="9" t="str">
        <f>IFERROR(IF(Master!U78="", "", Master!U78), "")</f>
        <v>A Lam</v>
      </c>
      <c r="W6" s="9" t="str">
        <f>IFERROR(IF(Master!V78="", "", Master!V78), "")</f>
        <v>Ka Po</v>
      </c>
      <c r="X6" s="9" t="str">
        <f>IFERROR(IF(Master!W78="", "", Master!W78), "")</f>
        <v>Ka Po</v>
      </c>
      <c r="Y6" s="9" t="str">
        <f>IFERROR(IF(Master!X78="", "", Master!X78), "")</f>
        <v>Ka Po</v>
      </c>
      <c r="Z6" s="9" t="str">
        <f>IFERROR(IF(Master!Y78="", "", Master!Y78), "")</f>
        <v>Ka Po</v>
      </c>
      <c r="AA6" s="9" t="str">
        <f>IFERROR(IF(Master!Z78="", "", Master!Z78), "")</f>
        <v>Ka Po</v>
      </c>
      <c r="AB6" s="9" t="str">
        <f>IFERROR(IF(Master!AA78="", "", Master!AA78), "")</f>
        <v>Ka Po</v>
      </c>
      <c r="AC6" s="9" t="str">
        <f>IFERROR(IF(Master!AB78="", "", Master!AB78), "")</f>
        <v>Ka Po</v>
      </c>
      <c r="AD6" s="9" t="str">
        <f>IFERROR(IF(Master!AC78="", "", Master!AC78), "")</f>
        <v>Ka Po</v>
      </c>
      <c r="AE6" s="9" t="str">
        <f>IFERROR(IF(Master!AD78="", "", Master!AD78), "")</f>
        <v>Ka Po</v>
      </c>
      <c r="AF6" s="58" t="str">
        <f>IFERROR(IF(Master!AE78="", "", Master!AE78), "")</f>
        <v>Ka Po</v>
      </c>
    </row>
    <row r="7" spans="1:42">
      <c r="C7" s="9" t="str">
        <f>IFERROR(IF(Master!B79="", "", Master!B79), "")</f>
        <v>Melody</v>
      </c>
      <c r="D7" s="9" t="str">
        <f>IFERROR(IF(Master!C79="", "", Master!C79), "")</f>
        <v>Melody</v>
      </c>
      <c r="E7" s="9" t="str">
        <f>IFERROR(IF(Master!D79="", "", Master!D79), "")</f>
        <v>Melody</v>
      </c>
      <c r="F7" s="9" t="str">
        <f>IFERROR(IF(Master!E79="", "", Master!E79), "")</f>
        <v>Melody</v>
      </c>
      <c r="G7" s="9" t="str">
        <f>IFERROR(IF(Master!F79="", "", Master!F79), "")</f>
        <v>Melody</v>
      </c>
      <c r="H7" s="9" t="str">
        <f>IFERROR(IF(Master!G79="", "", Master!G79), "")</f>
        <v>Melody</v>
      </c>
      <c r="I7" s="9" t="str">
        <f>IFERROR(IF(Master!H79="", "", Master!H79), "")</f>
        <v>Katrina</v>
      </c>
      <c r="J7" s="9" t="str">
        <f>IFERROR(IF(Master!I79="", "", Master!I79), "")</f>
        <v>Katrina</v>
      </c>
      <c r="K7" s="9" t="str">
        <f>IFERROR(IF(Master!J79="", "", Master!J79), "")</f>
        <v>Katrina</v>
      </c>
      <c r="L7" s="9" t="str">
        <f>IFERROR(IF(Master!K79="", "", Master!K79), "")</f>
        <v>Katrina</v>
      </c>
      <c r="M7" s="9" t="str">
        <f>IFERROR(IF(Master!L79="", "", Master!L79), "")</f>
        <v>Katrina</v>
      </c>
      <c r="N7" s="9" t="str">
        <f>IFERROR(IF(Master!M79="", "", Master!M79), "")</f>
        <v>A Lam</v>
      </c>
      <c r="O7" s="9" t="str">
        <f>IFERROR(IF(Master!N79="", "", Master!N79), "")</f>
        <v>A Lam</v>
      </c>
      <c r="P7" s="9" t="str">
        <f>IFERROR(IF(Master!O79="", "", Master!O79), "")</f>
        <v>Melody</v>
      </c>
      <c r="Q7" s="9" t="str">
        <f>IFERROR(IF(Master!P79="", "", Master!P79), "")</f>
        <v>Melody</v>
      </c>
      <c r="R7" s="9" t="str">
        <f>IFERROR(IF(Master!Q79="", "", Master!Q79), "")</f>
        <v>Melody</v>
      </c>
      <c r="S7" s="9" t="str">
        <f>IFERROR(IF(Master!R79="", "", Master!R79), "")</f>
        <v>Melody</v>
      </c>
      <c r="T7" s="9" t="str">
        <f>IFERROR(IF(Master!S79="", "", Master!S79), "")</f>
        <v>Melody</v>
      </c>
      <c r="U7" s="9" t="str">
        <f>IFERROR(IF(Master!T79="", "", Master!T79), "")</f>
        <v>Melody</v>
      </c>
      <c r="V7" s="9" t="str">
        <f>IFERROR(IF(Master!U79="", "", Master!U79), "")</f>
        <v>Melody</v>
      </c>
      <c r="W7" s="9" t="str">
        <f>IFERROR(IF(Master!V79="", "", Master!V79), "")</f>
        <v>Melody</v>
      </c>
      <c r="X7" s="9" t="str">
        <f>IFERROR(IF(Master!W79="", "", Master!W79), "")</f>
        <v>Melody</v>
      </c>
      <c r="Y7" s="9" t="str">
        <f>IFERROR(IF(Master!X79="", "", Master!X79), "")</f>
        <v>Melody</v>
      </c>
      <c r="Z7" s="9" t="str">
        <f>IFERROR(IF(Master!Y79="", "", Master!Y79), "")</f>
        <v>Melody</v>
      </c>
      <c r="AA7" s="9" t="str">
        <f>IFERROR(IF(Master!Z79="", "", Master!Z79), "")</f>
        <v>Melody</v>
      </c>
      <c r="AB7" s="9" t="str">
        <f>IFERROR(IF(Master!AA79="", "", Master!AA79), "")</f>
        <v>Melody</v>
      </c>
      <c r="AC7" s="9" t="str">
        <f>IFERROR(IF(Master!AB79="", "", Master!AB79), "")</f>
        <v>Melody</v>
      </c>
      <c r="AD7" s="9" t="str">
        <f>IFERROR(IF(Master!AC79="", "", Master!AC79), "")</f>
        <v>Katrina</v>
      </c>
      <c r="AE7" s="49" t="str">
        <f>IFERROR(IF(Master!AD79="", "", Master!AD79), "")</f>
        <v>Katrina</v>
      </c>
      <c r="AF7" s="49" t="str">
        <f>IFERROR(IF(Master!AE79="", "", Master!AE79), "")</f>
        <v>Katrina</v>
      </c>
    </row>
    <row r="8" spans="1:42">
      <c r="C8" s="9" t="str">
        <f>IFERROR(IF(Master!B80="", "", Master!B80), "")</f>
        <v/>
      </c>
      <c r="D8" s="9" t="str">
        <f>IFERROR(IF(Master!C80="", "", Master!C80), "")</f>
        <v/>
      </c>
      <c r="E8" s="9" t="str">
        <f>IFERROR(IF(Master!D80="", "", Master!D80), "")</f>
        <v/>
      </c>
      <c r="F8" s="9" t="str">
        <f>IFERROR(IF(Master!E80="", "", Master!E80), "")</f>
        <v/>
      </c>
      <c r="G8" s="9" t="str">
        <f>IFERROR(IF(Master!F80="", "", Master!F80), "")</f>
        <v/>
      </c>
      <c r="H8" s="9" t="str">
        <f>IFERROR(IF(Master!G80="", "", Master!G80), "")</f>
        <v/>
      </c>
      <c r="I8" s="9" t="str">
        <f>IFERROR(IF(Master!H80="", "", Master!H80), "")</f>
        <v/>
      </c>
      <c r="J8" s="9" t="str">
        <f>IFERROR(IF(Master!I80="", "", Master!I80), "")</f>
        <v/>
      </c>
      <c r="K8" s="9" t="str">
        <f>IFERROR(IF(Master!J80="", "", Master!J80), "")</f>
        <v/>
      </c>
      <c r="L8" s="9" t="str">
        <f>IFERROR(IF(Master!K80="", "", Master!K80), "")</f>
        <v/>
      </c>
      <c r="M8" s="9" t="str">
        <f>IFERROR(IF(Master!L80="", "", Master!L80), "")</f>
        <v/>
      </c>
      <c r="N8" s="9" t="str">
        <f>IFERROR(IF(Master!M80="", "", Master!M80), "")</f>
        <v/>
      </c>
      <c r="O8" s="9" t="str">
        <f>IFERROR(IF(Master!N80="", "", Master!N80), "")</f>
        <v/>
      </c>
      <c r="P8" s="9" t="str">
        <f>IFERROR(IF(Master!O80="", "", Master!O80), "")</f>
        <v/>
      </c>
      <c r="Q8" s="9" t="str">
        <f>IFERROR(IF(Master!P80="", "", Master!P80), "")</f>
        <v/>
      </c>
      <c r="R8" s="9" t="str">
        <f>IFERROR(IF(Master!Q80="", "", Master!Q80), "")</f>
        <v/>
      </c>
      <c r="S8" s="9" t="str">
        <f>IFERROR(IF(Master!R80="", "", Master!R80), "")</f>
        <v/>
      </c>
      <c r="T8" s="9" t="str">
        <f>IFERROR(IF(Master!S80="", "", Master!S80), "")</f>
        <v/>
      </c>
      <c r="U8" s="9" t="str">
        <f>IFERROR(IF(Master!T80="", "", Master!T80), "")</f>
        <v/>
      </c>
      <c r="V8" s="9" t="str">
        <f>IFERROR(IF(Master!U80="", "", Master!U80), "")</f>
        <v/>
      </c>
      <c r="W8" s="9" t="str">
        <f>IFERROR(IF(Master!V80="", "", Master!V80), "")</f>
        <v/>
      </c>
      <c r="X8" s="9" t="str">
        <f>IFERROR(IF(Master!W80="", "", Master!W80), "")</f>
        <v/>
      </c>
      <c r="Y8" s="9" t="str">
        <f>IFERROR(IF(Master!X80="", "", Master!X80), "")</f>
        <v/>
      </c>
      <c r="Z8" s="9" t="str">
        <f>IFERROR(IF(Master!Y80="", "", Master!Y80), "")</f>
        <v/>
      </c>
      <c r="AA8" s="9" t="str">
        <f>IFERROR(IF(Master!Z80="", "", Master!Z80), "")</f>
        <v/>
      </c>
      <c r="AB8" s="9" t="str">
        <f>IFERROR(IF(Master!AA80="", "", Master!AA80), "")</f>
        <v/>
      </c>
      <c r="AC8" s="9" t="str">
        <f>IFERROR(IF(Master!AB80="", "", Master!AB80), "")</f>
        <v/>
      </c>
      <c r="AD8" s="9" t="str">
        <f>IFERROR(IF(Master!AC80="", "", Master!AC80), "")</f>
        <v/>
      </c>
      <c r="AE8" s="49" t="str">
        <f>IFERROR(IF(Master!AD80="", "", Master!AD80), "")</f>
        <v/>
      </c>
      <c r="AF8" s="49" t="str">
        <f>IFERROR(IF(Master!AE80="", "", Master!AE80), "")</f>
        <v/>
      </c>
    </row>
    <row r="9" spans="1:42">
      <c r="C9" s="9" t="str">
        <f>IFERROR(IF(Master!B81="", "", Master!B81), "")</f>
        <v>Dicky</v>
      </c>
      <c r="D9" s="9" t="str">
        <f>IFERROR(IF(Master!C81="", "", Master!C81), "")</f>
        <v>Dicky</v>
      </c>
      <c r="E9" s="9" t="str">
        <f>IFERROR(IF(Master!D81="", "", Master!D81), "")</f>
        <v>Dicky</v>
      </c>
      <c r="F9" s="9" t="str">
        <f>IFERROR(IF(Master!E81="", "", Master!E81), "")</f>
        <v>Dicky</v>
      </c>
      <c r="G9" s="9" t="str">
        <f>IFERROR(IF(Master!F81="", "", Master!F81), "")</f>
        <v>Dicky</v>
      </c>
      <c r="H9" s="9" t="str">
        <f>IFERROR(IF(Master!G81="", "", Master!G81), "")</f>
        <v>Dicky</v>
      </c>
      <c r="I9" s="9" t="str">
        <f>IFERROR(IF(Master!H81="", "", Master!H81), "")</f>
        <v/>
      </c>
      <c r="J9" s="9" t="str">
        <f>IFERROR(IF(Master!I81="", "", Master!I81), "")</f>
        <v/>
      </c>
      <c r="K9" s="9" t="str">
        <f>IFERROR(IF(Master!J81="", "", Master!J81), "")</f>
        <v/>
      </c>
      <c r="L9" s="9" t="str">
        <f>IFERROR(IF(Master!K81="", "", Master!K81), "")</f>
        <v/>
      </c>
      <c r="M9" s="9" t="str">
        <f>IFERROR(IF(Master!L81="", "", Master!L81), "")</f>
        <v/>
      </c>
      <c r="N9" s="9" t="str">
        <f>IFERROR(IF(Master!M81="", "", Master!M81), "")</f>
        <v/>
      </c>
      <c r="O9" s="9" t="str">
        <f>IFERROR(IF(Master!N81="", "", Master!N81), "")</f>
        <v/>
      </c>
      <c r="P9" s="9" t="str">
        <f>IFERROR(IF(Master!O81="", "", Master!O81), "")</f>
        <v>Katrina</v>
      </c>
      <c r="Q9" s="9" t="str">
        <f>IFERROR(IF(Master!P81="", "", Master!P81), "")</f>
        <v>Katrina</v>
      </c>
      <c r="R9" s="9" t="str">
        <f>IFERROR(IF(Master!Q81="", "", Master!Q81), "")</f>
        <v>Katrina</v>
      </c>
      <c r="S9" s="9" t="str">
        <f>IFERROR(IF(Master!R81="", "", Master!R81), "")</f>
        <v>Katrina</v>
      </c>
      <c r="T9" s="9" t="str">
        <f>IFERROR(IF(Master!S81="", "", Master!S81), "")</f>
        <v>Katrina</v>
      </c>
      <c r="U9" s="9" t="str">
        <f>IFERROR(IF(Master!T81="", "", Master!T81), "")</f>
        <v>Katrina</v>
      </c>
      <c r="V9" s="9" t="str">
        <f>IFERROR(IF(Master!U81="", "", Master!U81), "")</f>
        <v>Katrina</v>
      </c>
      <c r="W9" s="9" t="str">
        <f>IFERROR(IF(Master!V81="", "", Master!V81), "")</f>
        <v>Katrina</v>
      </c>
      <c r="X9" s="9" t="str">
        <f>IFERROR(IF(Master!W81="", "", Master!W81), "")</f>
        <v>Katrina</v>
      </c>
      <c r="Y9" s="9" t="str">
        <f>IFERROR(IF(Master!X81="", "", Master!X81), "")</f>
        <v>Katrina</v>
      </c>
      <c r="Z9" s="9" t="str">
        <f>IFERROR(IF(Master!Y81="", "", Master!Y81), "")</f>
        <v>Katrina</v>
      </c>
      <c r="AA9" s="9" t="str">
        <f>IFERROR(IF(Master!Z81="", "", Master!Z81), "")</f>
        <v>Katrina</v>
      </c>
      <c r="AB9" s="9" t="str">
        <f>IFERROR(IF(Master!AA81="", "", Master!AA81), "")</f>
        <v>Katrina</v>
      </c>
      <c r="AC9" s="9" t="str">
        <f>IFERROR(IF(Master!AB81="", "", Master!AB81), "")</f>
        <v>Katrina</v>
      </c>
      <c r="AD9" s="9" t="str">
        <f>IFERROR(IF(Master!AC81="", "", Master!AC81), "")</f>
        <v/>
      </c>
      <c r="AE9" s="49" t="str">
        <f>IFERROR(IF(Master!AD81="", "", Master!AD81), "")</f>
        <v/>
      </c>
      <c r="AF9" s="49" t="str">
        <f>IFERROR(IF(Master!AE81="", "", Master!AE81), "")</f>
        <v/>
      </c>
      <c r="AG9" s="1"/>
    </row>
    <row r="10" spans="1:42">
      <c r="C10" s="9" t="str">
        <f>IFERROR(IF(Master!B82="", "", Master!B82), "")</f>
        <v/>
      </c>
      <c r="D10" s="9" t="str">
        <f>IFERROR(IF(Master!C82="", "", Master!C82), "")</f>
        <v/>
      </c>
      <c r="E10" s="9" t="str">
        <f>IFERROR(IF(Master!D82="", "", Master!D82), "")</f>
        <v/>
      </c>
      <c r="F10" s="9" t="str">
        <f>IFERROR(IF(Master!E82="", "", Master!E82), "")</f>
        <v/>
      </c>
      <c r="G10" s="9" t="str">
        <f>IFERROR(IF(Master!F82="", "", Master!F82), "")</f>
        <v/>
      </c>
      <c r="H10" s="9" t="str">
        <f>IFERROR(IF(Master!G82="", "", Master!G82), "")</f>
        <v/>
      </c>
      <c r="I10" s="9" t="str">
        <f>IFERROR(IF(Master!H82="", "", Master!H82), "")</f>
        <v/>
      </c>
      <c r="J10" s="9" t="str">
        <f>IFERROR(IF(Master!I82="", "", Master!I82), "")</f>
        <v/>
      </c>
      <c r="K10" s="9" t="str">
        <f>IFERROR(IF(Master!J82="", "", Master!J82), "")</f>
        <v/>
      </c>
      <c r="L10" s="9" t="str">
        <f>IFERROR(IF(Master!K82="", "", Master!K82), "")</f>
        <v/>
      </c>
      <c r="M10" s="9" t="str">
        <f>IFERROR(IF(Master!L82="", "", Master!L82), "")</f>
        <v/>
      </c>
      <c r="N10" s="9" t="str">
        <f>IFERROR(IF(Master!M82="", "", Master!M82), "")</f>
        <v/>
      </c>
      <c r="O10" s="9" t="str">
        <f>IFERROR(IF(Master!N82="", "", Master!N82), "")</f>
        <v/>
      </c>
      <c r="P10" s="9" t="str">
        <f>IFERROR(IF(Master!O82="", "", Master!O82), "")</f>
        <v/>
      </c>
      <c r="Q10" s="9" t="str">
        <f>IFERROR(IF(Master!P82="", "", Master!P82), "")</f>
        <v/>
      </c>
      <c r="R10" s="9" t="str">
        <f>IFERROR(IF(Master!Q82="", "", Master!Q82), "")</f>
        <v/>
      </c>
      <c r="S10" s="9" t="str">
        <f>IFERROR(IF(Master!R82="", "", Master!R82), "")</f>
        <v/>
      </c>
      <c r="T10" s="9" t="str">
        <f>IFERROR(IF(Master!S82="", "", Master!S82), "")</f>
        <v/>
      </c>
      <c r="U10" s="9" t="str">
        <f>IFERROR(IF(Master!T82="", "", Master!T82), "")</f>
        <v/>
      </c>
      <c r="V10" s="9" t="str">
        <f>IFERROR(IF(Master!U82="", "", Master!U82), "")</f>
        <v/>
      </c>
      <c r="W10" s="9" t="str">
        <f>IFERROR(IF(Master!V82="", "", Master!V82), "")</f>
        <v/>
      </c>
      <c r="X10" s="9" t="str">
        <f>IFERROR(IF(Master!W82="", "", Master!W82), "")</f>
        <v/>
      </c>
      <c r="Y10" s="9" t="str">
        <f>IFERROR(IF(Master!X82="", "", Master!X82), "")</f>
        <v/>
      </c>
      <c r="Z10" s="9" t="str">
        <f>IFERROR(IF(Master!Y82="", "", Master!Y82), "")</f>
        <v/>
      </c>
      <c r="AA10" s="9" t="str">
        <f>IFERROR(IF(Master!Z82="", "", Master!Z82), "")</f>
        <v/>
      </c>
      <c r="AB10" s="9" t="str">
        <f>IFERROR(IF(Master!AA82="", "", Master!AA82), "")</f>
        <v/>
      </c>
      <c r="AC10" s="9" t="str">
        <f>IFERROR(IF(Master!AB82="", "", Master!AB82), "")</f>
        <v/>
      </c>
      <c r="AD10" s="9" t="str">
        <f>IFERROR(IF(Master!AC82="", "", Master!AC82), "")</f>
        <v/>
      </c>
      <c r="AE10" s="49" t="str">
        <f>IFERROR(IF(Master!AD82="", "", Master!AD82), "")</f>
        <v/>
      </c>
      <c r="AF10" s="49" t="str">
        <f>IFERROR(IF(Master!AE82="", "", Master!AE82),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F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36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37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38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39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56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F16" si="2">C3</f>
        <v>46266</v>
      </c>
      <c r="D16" s="72">
        <f t="shared" si="2"/>
        <v>46267</v>
      </c>
      <c r="E16" s="72">
        <f t="shared" si="2"/>
        <v>46268</v>
      </c>
      <c r="F16" s="72">
        <f t="shared" si="2"/>
        <v>46269</v>
      </c>
      <c r="G16" s="72">
        <f t="shared" si="2"/>
        <v>46270</v>
      </c>
      <c r="H16" s="72">
        <f t="shared" si="2"/>
        <v>46271</v>
      </c>
      <c r="I16" s="72">
        <f t="shared" si="2"/>
        <v>46272</v>
      </c>
      <c r="J16" s="72">
        <f t="shared" si="2"/>
        <v>46273</v>
      </c>
      <c r="K16" s="72">
        <f t="shared" si="2"/>
        <v>46274</v>
      </c>
      <c r="L16" s="72">
        <f t="shared" si="2"/>
        <v>46275</v>
      </c>
      <c r="M16" s="72">
        <f t="shared" si="2"/>
        <v>46276</v>
      </c>
      <c r="N16" s="72">
        <f t="shared" si="2"/>
        <v>46277</v>
      </c>
      <c r="O16" s="72">
        <f t="shared" si="2"/>
        <v>46278</v>
      </c>
      <c r="P16" s="72">
        <f t="shared" si="2"/>
        <v>46279</v>
      </c>
      <c r="Q16" s="72">
        <f t="shared" si="2"/>
        <v>46280</v>
      </c>
      <c r="R16" s="72">
        <f t="shared" si="2"/>
        <v>46281</v>
      </c>
      <c r="S16" s="72">
        <f t="shared" si="2"/>
        <v>46282</v>
      </c>
      <c r="T16" s="72">
        <f t="shared" si="2"/>
        <v>46283</v>
      </c>
      <c r="U16" s="72">
        <f t="shared" si="2"/>
        <v>46284</v>
      </c>
      <c r="V16" s="72">
        <f t="shared" si="2"/>
        <v>46285</v>
      </c>
      <c r="W16" s="72">
        <f t="shared" si="2"/>
        <v>46286</v>
      </c>
      <c r="X16" s="72">
        <f t="shared" si="2"/>
        <v>46287</v>
      </c>
      <c r="Y16" s="72">
        <f t="shared" si="2"/>
        <v>46288</v>
      </c>
      <c r="Z16" s="72">
        <f t="shared" si="2"/>
        <v>46289</v>
      </c>
      <c r="AA16" s="72">
        <f t="shared" si="2"/>
        <v>46290</v>
      </c>
      <c r="AB16" s="72">
        <f t="shared" si="2"/>
        <v>46291</v>
      </c>
      <c r="AC16" s="72">
        <f t="shared" si="2"/>
        <v>46292</v>
      </c>
      <c r="AD16" s="72">
        <f t="shared" si="2"/>
        <v>46293</v>
      </c>
      <c r="AE16" s="72">
        <f t="shared" si="2"/>
        <v>46294</v>
      </c>
      <c r="AF16" s="72">
        <f t="shared" si="2"/>
        <v>46295</v>
      </c>
      <c r="AG16" s="52"/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Tue</v>
      </c>
      <c r="D17" s="39" t="str">
        <f t="shared" ref="D17:AF17" si="3">TEXT(D16,"ddd")</f>
        <v>Wed</v>
      </c>
      <c r="E17" s="39" t="str">
        <f t="shared" si="3"/>
        <v>Thu</v>
      </c>
      <c r="F17" s="39" t="str">
        <f t="shared" si="3"/>
        <v>Fri</v>
      </c>
      <c r="G17" s="39" t="str">
        <f t="shared" si="3"/>
        <v>Sat</v>
      </c>
      <c r="H17" s="39" t="str">
        <f t="shared" si="3"/>
        <v>Sun</v>
      </c>
      <c r="I17" s="39" t="str">
        <f t="shared" si="3"/>
        <v>Mon</v>
      </c>
      <c r="J17" s="39" t="str">
        <f t="shared" si="3"/>
        <v>Tue</v>
      </c>
      <c r="K17" s="39" t="str">
        <f t="shared" si="3"/>
        <v>Wed</v>
      </c>
      <c r="L17" s="39" t="str">
        <f t="shared" si="3"/>
        <v>Thu</v>
      </c>
      <c r="M17" s="39" t="str">
        <f t="shared" si="3"/>
        <v>Fri</v>
      </c>
      <c r="N17" s="39" t="str">
        <f t="shared" si="3"/>
        <v>Sat</v>
      </c>
      <c r="O17" s="39" t="str">
        <f t="shared" si="3"/>
        <v>Sun</v>
      </c>
      <c r="P17" s="39" t="str">
        <f t="shared" si="3"/>
        <v>Mon</v>
      </c>
      <c r="Q17" s="39" t="str">
        <f t="shared" si="3"/>
        <v>Tue</v>
      </c>
      <c r="R17" s="39" t="str">
        <f t="shared" si="3"/>
        <v>Wed</v>
      </c>
      <c r="S17" s="39" t="str">
        <f t="shared" si="3"/>
        <v>Thu</v>
      </c>
      <c r="T17" s="39" t="str">
        <f t="shared" si="3"/>
        <v>Fri</v>
      </c>
      <c r="U17" s="39" t="str">
        <f t="shared" si="3"/>
        <v>Sat</v>
      </c>
      <c r="V17" s="39" t="str">
        <f t="shared" si="3"/>
        <v>Sun</v>
      </c>
      <c r="W17" s="39" t="str">
        <f t="shared" si="3"/>
        <v>Mon</v>
      </c>
      <c r="X17" s="39" t="str">
        <f t="shared" si="3"/>
        <v>Tue</v>
      </c>
      <c r="Y17" s="39" t="str">
        <f t="shared" si="3"/>
        <v>Wed</v>
      </c>
      <c r="Z17" s="39" t="str">
        <f t="shared" si="3"/>
        <v>Thu</v>
      </c>
      <c r="AA17" s="39" t="str">
        <f t="shared" si="3"/>
        <v>Fri</v>
      </c>
      <c r="AB17" s="39" t="str">
        <f t="shared" si="3"/>
        <v>Sat</v>
      </c>
      <c r="AC17" s="39" t="str">
        <f t="shared" si="3"/>
        <v>Sun</v>
      </c>
      <c r="AD17" s="39" t="str">
        <f t="shared" si="3"/>
        <v>Mon</v>
      </c>
      <c r="AE17" s="50" t="str">
        <f t="shared" si="3"/>
        <v>Tue</v>
      </c>
      <c r="AF17" s="55" t="str">
        <f t="shared" si="3"/>
        <v>Wed</v>
      </c>
      <c r="AG17" s="25"/>
      <c r="AK17" s="85"/>
      <c r="AL17" s="85"/>
      <c r="AM17" s="85"/>
      <c r="AN17" s="83"/>
      <c r="AO17" s="83"/>
      <c r="AP17" s="83"/>
    </row>
    <row r="18" spans="1:42" ht="22.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HD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DO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HD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DO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HD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DO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PH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DO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53"/>
      <c r="AK18" s="11" t="s">
        <v>118</v>
      </c>
      <c r="AL18" s="65">
        <f>SUMPRODUCT((B18:AF18="D")*8) + SUMPRODUCT((B18:AF18="E")*8) + SUMPRODUCT((B18:AF18="HD")*4)</f>
        <v>188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188</v>
      </c>
      <c r="AO18" s="67">
        <f>AN18-$AN$18</f>
        <v>0</v>
      </c>
      <c r="AP18" s="67">
        <f>AO18+Aug!AP18</f>
        <v>0</v>
      </c>
    </row>
    <row r="19" spans="1:42" ht="22.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DO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DO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DO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DO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PH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DO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53"/>
      <c r="AK19" s="11" t="s">
        <v>21</v>
      </c>
      <c r="AL19" s="65">
        <f t="shared" ref="AL19:AL26" si="4">SUMPRODUCT((B19:AF19="D")*8) + SUMPRODUCT((B19:AF19="E")*8) + SUMPRODUCT((B19:AF19="HD")*4)</f>
        <v>192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192</v>
      </c>
      <c r="AO19" s="67">
        <f t="shared" ref="AO19:AO20" si="6">AN19-$AN$18</f>
        <v>4</v>
      </c>
      <c r="AP19" s="67">
        <f>AO19+Aug!AP19</f>
        <v>-4</v>
      </c>
    </row>
    <row r="20" spans="1:42" ht="22.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HD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DO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HD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DO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HD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DO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PH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DO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53"/>
      <c r="AK20" s="11" t="s">
        <v>119</v>
      </c>
      <c r="AL20" s="65">
        <f t="shared" si="4"/>
        <v>188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188</v>
      </c>
      <c r="AO20" s="67">
        <f t="shared" si="6"/>
        <v>0</v>
      </c>
      <c r="AP20" s="67">
        <f>AO20+Aug!AP20</f>
        <v>0</v>
      </c>
    </row>
    <row r="21" spans="1:42" ht="22.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AL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AL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AL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AL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DO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DO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E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E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E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DO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E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E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E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E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E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D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DO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D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D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D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D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PH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DO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</v>
      </c>
      <c r="AG21" s="53"/>
      <c r="AK21" s="11" t="s">
        <v>24</v>
      </c>
      <c r="AL21" s="65">
        <f t="shared" si="4"/>
        <v>160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32</v>
      </c>
      <c r="AN21" s="68">
        <f t="shared" si="5"/>
        <v>192</v>
      </c>
      <c r="AO21" s="67">
        <f>AN21-$AN$18-4</f>
        <v>0</v>
      </c>
      <c r="AP21" s="67">
        <f>AO21+Aug!AP21</f>
        <v>-8</v>
      </c>
    </row>
    <row r="22" spans="1:42" ht="22.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E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E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E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E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DO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DO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DO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D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D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DO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DO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E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E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E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E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E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PH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DO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E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E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E</v>
      </c>
      <c r="AG22" s="53"/>
      <c r="AK22" s="11" t="s">
        <v>22</v>
      </c>
      <c r="AL22" s="65">
        <f t="shared" si="4"/>
        <v>184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184</v>
      </c>
      <c r="AO22" s="67">
        <f>AN22-$AN$18+4</f>
        <v>0</v>
      </c>
      <c r="AP22" s="67">
        <f>AO22+Aug!AP22</f>
        <v>0</v>
      </c>
    </row>
    <row r="23" spans="1:42" ht="22.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E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DO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DO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DO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E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E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E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E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E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D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DO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D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PH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DO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</v>
      </c>
      <c r="AG23" s="53"/>
      <c r="AK23" s="11" t="s">
        <v>23</v>
      </c>
      <c r="AL23" s="65">
        <f t="shared" si="4"/>
        <v>192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192</v>
      </c>
      <c r="AO23" s="67">
        <f>AN23-$AN$18-4</f>
        <v>0</v>
      </c>
      <c r="AP23" s="67">
        <f>AO23+Aug!AP23</f>
        <v>0</v>
      </c>
    </row>
    <row r="24" spans="1:42" ht="22.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DO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E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E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E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E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E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DO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D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D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DO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DO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E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E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E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E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E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PH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DO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53"/>
      <c r="AK24" s="11" t="s">
        <v>25</v>
      </c>
      <c r="AL24" s="65">
        <f t="shared" si="4"/>
        <v>192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192</v>
      </c>
      <c r="AO24" s="67">
        <f>AN24-$AN$18+4</f>
        <v>8</v>
      </c>
      <c r="AP24" s="67">
        <f>AO24+Aug!AP24</f>
        <v>8</v>
      </c>
    </row>
    <row r="25" spans="1:42" ht="22.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E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E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E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E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DO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D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DO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DO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E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E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E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E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DO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E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E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E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E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E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PH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DO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</v>
      </c>
      <c r="AG25" s="53"/>
      <c r="AK25" s="11" t="s">
        <v>27</v>
      </c>
      <c r="AL25" s="65">
        <f t="shared" si="4"/>
        <v>192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192</v>
      </c>
      <c r="AO25" s="67">
        <f>AN25-$AN$18+4</f>
        <v>8</v>
      </c>
      <c r="AP25" s="67">
        <f>AO25+Aug!AP25</f>
        <v>0</v>
      </c>
    </row>
    <row r="26" spans="1:42" ht="22.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D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DO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DO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E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E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E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E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E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DO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DO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AL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AL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AL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AL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AL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DO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DO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AL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AL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AL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AL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AL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PH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DO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E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E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E</v>
      </c>
      <c r="AG26" s="53"/>
      <c r="AK26" s="11" t="s">
        <v>26</v>
      </c>
      <c r="AL26" s="65">
        <f t="shared" si="4"/>
        <v>96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80</v>
      </c>
      <c r="AN26" s="68">
        <f t="shared" si="5"/>
        <v>176</v>
      </c>
      <c r="AO26" s="67">
        <f>AN26-$AN$18-4</f>
        <v>-16</v>
      </c>
      <c r="AP26" s="67">
        <f>AO26+Aug!AP26</f>
        <v>0</v>
      </c>
    </row>
    <row r="27" spans="1:42" ht="22.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B6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DO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DO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HD2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DO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DO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DO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PH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DO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53"/>
      <c r="AK27" s="11"/>
      <c r="AL27" s="65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AO27+Aug!AP27</f>
        <v>0</v>
      </c>
    </row>
    <row r="28" spans="1:42" ht="22.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D1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HD2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DO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DO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DO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HD2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DO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PH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DO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53"/>
      <c r="AK28" s="11"/>
      <c r="AL28" s="65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AO28+Aug!AP28</f>
        <v>0</v>
      </c>
    </row>
    <row r="29" spans="1:42" ht="22.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53"/>
      <c r="AK29" s="11"/>
      <c r="AL29" s="65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AO29+Aug!AP29</f>
        <v>0</v>
      </c>
    </row>
    <row r="30" spans="1:42" ht="22.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53"/>
      <c r="AK30" s="11"/>
      <c r="AL30" s="65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AO30+Aug!AP30</f>
        <v>0</v>
      </c>
    </row>
    <row r="31" spans="1:42" ht="22.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HD1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DO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HD1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DO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HD1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DO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PH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DO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53"/>
      <c r="AK31" s="11" t="s">
        <v>136</v>
      </c>
      <c r="AL31" s="65">
        <f>SUMPRODUCT((B31:AF31="D")*8) + SUMPRODUCT((B31:AF31="E")*8) + SUMPRODUCT((B31:AF31="HD1")*4)</f>
        <v>188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188</v>
      </c>
      <c r="AO31" s="67">
        <f t="shared" ref="AO31" si="7">AN31-$AN$18</f>
        <v>0</v>
      </c>
      <c r="AP31" s="67">
        <f>AO31+Aug!AP31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F3">
    <cfRule type="expression" dxfId="77" priority="40">
      <formula>B$69="sun"</formula>
    </cfRule>
  </conditionalFormatting>
  <conditionalFormatting sqref="C3:AF10">
    <cfRule type="expression" dxfId="74" priority="46">
      <formula>WEEKDAY(C3,2)=7</formula>
    </cfRule>
  </conditionalFormatting>
  <conditionalFormatting sqref="C4:AF10">
    <cfRule type="expression" dxfId="73" priority="43">
      <formula>C$4="Sun"</formula>
    </cfRule>
  </conditionalFormatting>
  <conditionalFormatting sqref="C5:AF10">
    <cfRule type="expression" dxfId="72" priority="42">
      <formula>B$69="sun"</formula>
    </cfRule>
  </conditionalFormatting>
  <conditionalFormatting sqref="C18:AF31">
    <cfRule type="expression" dxfId="70" priority="1">
      <formula>C18="HDAL"</formula>
    </cfRule>
  </conditionalFormatting>
  <conditionalFormatting sqref="C17:AG17">
    <cfRule type="expression" dxfId="68" priority="28">
      <formula>C$17="sun"</formula>
    </cfRule>
    <cfRule type="expression" dxfId="67" priority="29">
      <formula>C$17="sat"</formula>
    </cfRule>
  </conditionalFormatting>
  <conditionalFormatting sqref="C18:AG31">
    <cfRule type="expression" dxfId="66" priority="2">
      <formula>C18="PH"</formula>
    </cfRule>
    <cfRule type="expression" dxfId="65" priority="3">
      <formula>C18="AL"</formula>
    </cfRule>
    <cfRule type="expression" dxfId="63" priority="5">
      <formula>C18="DO"</formula>
    </cfRule>
  </conditionalFormatting>
  <conditionalFormatting sqref="AG9">
    <cfRule type="expression" dxfId="62" priority="22">
      <formula>AG$4="Sun"</formula>
    </cfRule>
    <cfRule type="expression" dxfId="59" priority="25">
      <formula>WEEKDAY(AG9,2)=7</formula>
    </cfRule>
  </conditionalFormatting>
  <conditionalFormatting sqref="AO18:AP31">
    <cfRule type="expression" dxfId="58" priority="6">
      <formula>AO18&gt;0</formula>
    </cfRule>
    <cfRule type="expression" dxfId="57" priority="7">
      <formula>AO18&lt;0</formula>
    </cfRule>
  </conditionalFormatting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C077E1F1-4455-474B-8004-A32FE763B6DC}">
            <xm:f>COUNTIF(PH!$A:$A, C3)&gt;0</xm:f>
            <x14:dxf>
              <font>
                <color rgb="FFFF0000"/>
              </font>
            </x14:dxf>
          </x14:cfRule>
          <x14:cfRule type="expression" priority="45" id="{B884995A-0E46-4DBB-9AFB-6787206A8DCC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C3:AF10</xm:sqref>
        </x14:conditionalFormatting>
        <x14:conditionalFormatting xmlns:xm="http://schemas.microsoft.com/office/excel/2006/main">
          <x14:cfRule type="expression" priority="17" id="{E3684A77-BAD3-45E1-B820-63E36579CFC6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C16:AF16</xm:sqref>
        </x14:conditionalFormatting>
        <x14:conditionalFormatting xmlns:xm="http://schemas.microsoft.com/office/excel/2006/main">
          <x14:cfRule type="expression" priority="18" id="{019B8E23-3FDC-40E1-923A-B4C47BC2471B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CC013E3F-CE87-4585-BC8E-18D237FC1FF2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  <x14:conditionalFormatting xmlns:xm="http://schemas.microsoft.com/office/excel/2006/main">
          <x14:cfRule type="expression" priority="23" id="{9AA701A9-2246-451A-B52C-0B2AB752F894}">
            <xm:f>AND(COUNTIF(PH!$A:$A, AG9)&gt;0, WEEKDAY(AG9,2)=6)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4" id="{6A2CC964-587F-4217-BB28-B895E8538ABF}">
            <xm:f>COUNTIF(PH!$A:$A, AG9)&gt;0</xm:f>
            <x14:dxf>
              <font>
                <color rgb="FFFF0000"/>
              </font>
            </x14:dxf>
          </x14:cfRule>
          <xm:sqref>AG9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A9FE9D-0AF5-49E8-B64F-B56C83C95CBA}">
          <x14:formula1>
            <xm:f>'On call stat'!$T$3:$T$21</xm:f>
          </x14:formula1>
          <xm:sqref>C3:AF3 C5:AF10</xm:sqref>
        </x14:dataValidation>
        <x14:dataValidation type="list" allowBlank="1" showInputMessage="1" showErrorMessage="1" xr:uid="{6C3F6F92-31E7-45FD-A069-E0AF77843A6F}">
          <x14:formula1>
            <xm:f>'On call stat'!$T$3:$T$14</xm:f>
          </x14:formula1>
          <xm:sqref>AG9:AG10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61C3-E279-44D5-B7E9-20FC6ECB3F92}">
  <sheetPr codeName="Sheet11"/>
  <dimension ref="A1:AP48"/>
  <sheetViews>
    <sheetView topLeftCell="A7" zoomScale="70" zoomScaleNormal="70" workbookViewId="0">
      <selection activeCell="C18" sqref="C18:AG31"/>
    </sheetView>
  </sheetViews>
  <sheetFormatPr defaultRowHeight="15"/>
  <cols>
    <col min="2" max="2" width="31.140625" customWidth="1"/>
    <col min="36" max="36" width="9.140625" style="42"/>
    <col min="40" max="40" width="13.4257812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IFERROR(IF(Master!B84="", "", Master!B84), "")</f>
        <v>46296</v>
      </c>
      <c r="D3" s="9">
        <f>IFERROR(IF(Master!C84="", "", Master!C84), "")</f>
        <v>46297</v>
      </c>
      <c r="E3" s="9">
        <f>IFERROR(IF(Master!D84="", "", Master!D84), "")</f>
        <v>46298</v>
      </c>
      <c r="F3" s="9">
        <f>IFERROR(IF(Master!E84="", "", Master!E84), "")</f>
        <v>46299</v>
      </c>
      <c r="G3" s="9">
        <f>IFERROR(IF(Master!F84="", "", Master!F84), "")</f>
        <v>46300</v>
      </c>
      <c r="H3" s="9">
        <f>IFERROR(IF(Master!G84="", "", Master!G84), "")</f>
        <v>46301</v>
      </c>
      <c r="I3" s="9">
        <f>IFERROR(IF(Master!H84="", "", Master!H84), "")</f>
        <v>46302</v>
      </c>
      <c r="J3" s="9">
        <f>IFERROR(IF(Master!I84="", "", Master!I84), "")</f>
        <v>46303</v>
      </c>
      <c r="K3" s="9">
        <f>IFERROR(IF(Master!J84="", "", Master!J84), "")</f>
        <v>46304</v>
      </c>
      <c r="L3" s="9">
        <f>IFERROR(IF(Master!K84="", "", Master!K84), "")</f>
        <v>46305</v>
      </c>
      <c r="M3" s="9">
        <f>IFERROR(IF(Master!L84="", "", Master!L84), "")</f>
        <v>46306</v>
      </c>
      <c r="N3" s="9">
        <f>IFERROR(IF(Master!M84="", "", Master!M84), "")</f>
        <v>46307</v>
      </c>
      <c r="O3" s="9">
        <f>IFERROR(IF(Master!N84="", "", Master!N84), "")</f>
        <v>46308</v>
      </c>
      <c r="P3" s="9">
        <f>IFERROR(IF(Master!O84="", "", Master!O84), "")</f>
        <v>46309</v>
      </c>
      <c r="Q3" s="9">
        <f>IFERROR(IF(Master!P84="", "", Master!P84), "")</f>
        <v>46310</v>
      </c>
      <c r="R3" s="9">
        <f>IFERROR(IF(Master!Q84="", "", Master!Q84), "")</f>
        <v>46311</v>
      </c>
      <c r="S3" s="9">
        <f>IFERROR(IF(Master!R84="", "", Master!R84), "")</f>
        <v>46312</v>
      </c>
      <c r="T3" s="9">
        <f>IFERROR(IF(Master!S84="", "", Master!S84), "")</f>
        <v>46313</v>
      </c>
      <c r="U3" s="9">
        <f>IFERROR(IF(Master!T84="", "", Master!T84), "")</f>
        <v>46314</v>
      </c>
      <c r="V3" s="9">
        <f>IFERROR(IF(Master!U84="", "", Master!U84), "")</f>
        <v>46315</v>
      </c>
      <c r="W3" s="9">
        <f>IFERROR(IF(Master!V84="", "", Master!V84), "")</f>
        <v>46316</v>
      </c>
      <c r="X3" s="9">
        <f>IFERROR(IF(Master!W84="", "", Master!W84), "")</f>
        <v>46317</v>
      </c>
      <c r="Y3" s="9">
        <f>IFERROR(IF(Master!X84="", "", Master!X84), "")</f>
        <v>46318</v>
      </c>
      <c r="Z3" s="9">
        <f>IFERROR(IF(Master!Y84="", "", Master!Y84), "")</f>
        <v>46319</v>
      </c>
      <c r="AA3" s="9">
        <f>IFERROR(IF(Master!Z84="", "", Master!Z84), "")</f>
        <v>46320</v>
      </c>
      <c r="AB3" s="9">
        <f>IFERROR(IF(Master!AA84="", "", Master!AA84), "")</f>
        <v>46321</v>
      </c>
      <c r="AC3" s="9">
        <f>IFERROR(IF(Master!AB84="", "", Master!AB84), "")</f>
        <v>46322</v>
      </c>
      <c r="AD3" s="9">
        <f>IFERROR(IF(Master!AC84="", "", Master!AC84), "")</f>
        <v>46323</v>
      </c>
      <c r="AE3" s="9">
        <f>IFERROR(IF(Master!AD84="", "", Master!AD84), "")</f>
        <v>46324</v>
      </c>
      <c r="AF3" s="9">
        <f>IFERROR(IF(Master!AE84="", "", Master!AE84), "")</f>
        <v>46325</v>
      </c>
      <c r="AG3" s="9">
        <f>IFERROR(IF(Master!AF84="", "", Master!AF84), "")</f>
        <v>46326</v>
      </c>
    </row>
    <row r="4" spans="1:42">
      <c r="C4" s="13" t="str">
        <f t="shared" ref="C4:AG4" si="0">TEXT(C3,"ddd")</f>
        <v>Thu</v>
      </c>
      <c r="D4" s="13" t="str">
        <f t="shared" si="0"/>
        <v>Fri</v>
      </c>
      <c r="E4" s="13" t="str">
        <f t="shared" si="0"/>
        <v>Sat</v>
      </c>
      <c r="F4" s="13" t="str">
        <f t="shared" si="0"/>
        <v>Sun</v>
      </c>
      <c r="G4" s="13" t="str">
        <f t="shared" si="0"/>
        <v>Mon</v>
      </c>
      <c r="H4" s="13" t="str">
        <f t="shared" si="0"/>
        <v>Tue</v>
      </c>
      <c r="I4" s="13" t="str">
        <f t="shared" si="0"/>
        <v>Wed</v>
      </c>
      <c r="J4" s="13" t="str">
        <f t="shared" si="0"/>
        <v>Thu</v>
      </c>
      <c r="K4" s="13" t="str">
        <f t="shared" si="0"/>
        <v>Fri</v>
      </c>
      <c r="L4" s="13" t="str">
        <f t="shared" si="0"/>
        <v>Sat</v>
      </c>
      <c r="M4" s="13" t="str">
        <f t="shared" si="0"/>
        <v>Sun</v>
      </c>
      <c r="N4" s="13" t="str">
        <f t="shared" si="0"/>
        <v>Mon</v>
      </c>
      <c r="O4" s="13" t="str">
        <f t="shared" si="0"/>
        <v>Tue</v>
      </c>
      <c r="P4" s="13" t="str">
        <f t="shared" si="0"/>
        <v>Wed</v>
      </c>
      <c r="Q4" s="13" t="str">
        <f t="shared" si="0"/>
        <v>Thu</v>
      </c>
      <c r="R4" s="13" t="str">
        <f t="shared" si="0"/>
        <v>Fri</v>
      </c>
      <c r="S4" s="13" t="str">
        <f t="shared" si="0"/>
        <v>Sat</v>
      </c>
      <c r="T4" s="13" t="str">
        <f t="shared" si="0"/>
        <v>Sun</v>
      </c>
      <c r="U4" s="13" t="str">
        <f t="shared" si="0"/>
        <v>Mon</v>
      </c>
      <c r="V4" s="13" t="str">
        <f t="shared" si="0"/>
        <v>Tue</v>
      </c>
      <c r="W4" s="13" t="str">
        <f t="shared" si="0"/>
        <v>Wed</v>
      </c>
      <c r="X4" s="13" t="str">
        <f t="shared" si="0"/>
        <v>Thu</v>
      </c>
      <c r="Y4" s="13" t="str">
        <f t="shared" si="0"/>
        <v>Fri</v>
      </c>
      <c r="Z4" s="13" t="str">
        <f t="shared" si="0"/>
        <v>Sat</v>
      </c>
      <c r="AA4" s="13" t="str">
        <f t="shared" si="0"/>
        <v>Sun</v>
      </c>
      <c r="AB4" s="13" t="str">
        <f t="shared" si="0"/>
        <v>Mon</v>
      </c>
      <c r="AC4" s="13" t="str">
        <f t="shared" si="0"/>
        <v>Tue</v>
      </c>
      <c r="AD4" s="13" t="str">
        <f t="shared" si="0"/>
        <v>Wed</v>
      </c>
      <c r="AE4" s="13" t="str">
        <f t="shared" si="0"/>
        <v>Thu</v>
      </c>
      <c r="AF4" s="13" t="str">
        <f t="shared" si="0"/>
        <v>Fri</v>
      </c>
      <c r="AG4" s="13" t="str">
        <f t="shared" si="0"/>
        <v>Sat</v>
      </c>
    </row>
    <row r="5" spans="1:42">
      <c r="C5" s="9" t="str">
        <f>IFERROR(IF(Master!B86="", "", Master!B86), "")</f>
        <v>Amy</v>
      </c>
      <c r="D5" s="9" t="str">
        <f>IFERROR(IF(Master!C86="", "", Master!C86), "")</f>
        <v>Amy</v>
      </c>
      <c r="E5" s="9" t="str">
        <f>IFERROR(IF(Master!D86="", "", Master!D86), "")</f>
        <v>Amy</v>
      </c>
      <c r="F5" s="9" t="str">
        <f>IFERROR(IF(Master!E86="", "", Master!E86), "")</f>
        <v>Amy</v>
      </c>
      <c r="G5" s="9" t="str">
        <f>IFERROR(IF(Master!F86="", "", Master!F86), "")</f>
        <v>Dicky</v>
      </c>
      <c r="H5" s="9" t="str">
        <f>IFERROR(IF(Master!G86="", "", Master!G86), "")</f>
        <v>Dicky</v>
      </c>
      <c r="I5" s="9" t="str">
        <f>IFERROR(IF(Master!H86="", "", Master!H86), "")</f>
        <v>Dicky</v>
      </c>
      <c r="J5" s="9" t="str">
        <f>IFERROR(IF(Master!I86="", "", Master!I86), "")</f>
        <v>Dicky</v>
      </c>
      <c r="K5" s="9" t="str">
        <f>IFERROR(IF(Master!J86="", "", Master!J86), "")</f>
        <v>Dicky</v>
      </c>
      <c r="L5" s="9" t="str">
        <f>IFERROR(IF(Master!K86="", "", Master!K86), "")</f>
        <v>Dicky</v>
      </c>
      <c r="M5" s="9" t="str">
        <f>IFERROR(IF(Master!L86="", "", Master!L86), "")</f>
        <v>Dicky</v>
      </c>
      <c r="N5" s="9" t="str">
        <f>IFERROR(IF(Master!M86="", "", Master!M86), "")</f>
        <v>Amy</v>
      </c>
      <c r="O5" s="9" t="str">
        <f>IFERROR(IF(Master!N86="", "", Master!N86), "")</f>
        <v>Amy</v>
      </c>
      <c r="P5" s="9" t="str">
        <f>IFERROR(IF(Master!O86="", "", Master!O86), "")</f>
        <v>Amy</v>
      </c>
      <c r="Q5" s="9" t="str">
        <f>IFERROR(IF(Master!P86="", "", Master!P86), "")</f>
        <v>Amy</v>
      </c>
      <c r="R5" s="9" t="str">
        <f>IFERROR(IF(Master!Q86="", "", Master!Q86), "")</f>
        <v>Amy</v>
      </c>
      <c r="S5" s="9" t="str">
        <f>IFERROR(IF(Master!R86="", "", Master!R86), "")</f>
        <v>Amy</v>
      </c>
      <c r="T5" s="9" t="str">
        <f>IFERROR(IF(Master!S86="", "", Master!S86), "")</f>
        <v>Amy</v>
      </c>
      <c r="U5" s="9" t="str">
        <f>IFERROR(IF(Master!T86="", "", Master!T86), "")</f>
        <v>Amy</v>
      </c>
      <c r="V5" s="9" t="str">
        <f>IFERROR(IF(Master!U86="", "", Master!U86), "")</f>
        <v>Dicky</v>
      </c>
      <c r="W5" s="9" t="str">
        <f>IFERROR(IF(Master!V86="", "", Master!V86), "")</f>
        <v>Dicky</v>
      </c>
      <c r="X5" s="9" t="str">
        <f>IFERROR(IF(Master!W86="", "", Master!W86), "")</f>
        <v>Dicky</v>
      </c>
      <c r="Y5" s="9" t="str">
        <f>IFERROR(IF(Master!X86="", "", Master!X86), "")</f>
        <v>Dicky</v>
      </c>
      <c r="Z5" s="9" t="str">
        <f>IFERROR(IF(Master!Y86="", "", Master!Y86), "")</f>
        <v>Dicky</v>
      </c>
      <c r="AA5" s="9" t="str">
        <f>IFERROR(IF(Master!Z86="", "", Master!Z86), "")</f>
        <v>Dicky</v>
      </c>
      <c r="AB5" s="9" t="str">
        <f>IFERROR(IF(Master!AA86="", "", Master!AA86), "")</f>
        <v>Amy</v>
      </c>
      <c r="AC5" s="9" t="str">
        <f>IFERROR(IF(Master!AB86="", "", Master!AB86), "")</f>
        <v>Amy</v>
      </c>
      <c r="AD5" s="9" t="str">
        <f>IFERROR(IF(Master!AC86="", "", Master!AC86), "")</f>
        <v>Amy</v>
      </c>
      <c r="AE5" s="9" t="str">
        <f>IFERROR(IF(Master!AD86="", "", Master!AD86), "")</f>
        <v>Amy</v>
      </c>
      <c r="AF5" s="9" t="str">
        <f>IFERROR(IF(Master!AE86="", "", Master!AE86), "")</f>
        <v>Amy</v>
      </c>
      <c r="AG5" s="9" t="str">
        <f>IFERROR(IF(Master!AF86="", "", Master!AF86), "")</f>
        <v>Amy</v>
      </c>
    </row>
    <row r="6" spans="1:42">
      <c r="C6" s="9" t="str">
        <f>IFERROR(IF(Master!B87="", "", Master!B87), "")</f>
        <v>Ka Po</v>
      </c>
      <c r="D6" s="9" t="str">
        <f>IFERROR(IF(Master!C87="", "", Master!C87), "")</f>
        <v>Ka Po</v>
      </c>
      <c r="E6" s="9" t="str">
        <f>IFERROR(IF(Master!D87="", "", Master!D87), "")</f>
        <v>Ka Po</v>
      </c>
      <c r="F6" s="9" t="str">
        <f>IFERROR(IF(Master!E87="", "", Master!E87), "")</f>
        <v>Ka Po</v>
      </c>
      <c r="G6" s="9" t="str">
        <f>IFERROR(IF(Master!F87="", "", Master!F87), "")</f>
        <v>A Lam</v>
      </c>
      <c r="H6" s="9" t="str">
        <f>IFERROR(IF(Master!G87="", "", Master!G87), "")</f>
        <v>A Lam</v>
      </c>
      <c r="I6" s="9" t="str">
        <f>IFERROR(IF(Master!H87="", "", Master!H87), "")</f>
        <v>A Lam</v>
      </c>
      <c r="J6" s="9" t="str">
        <f>IFERROR(IF(Master!I87="", "", Master!I87), "")</f>
        <v>A Lam</v>
      </c>
      <c r="K6" s="9" t="str">
        <f>IFERROR(IF(Master!J87="", "", Master!J87), "")</f>
        <v>A Lam</v>
      </c>
      <c r="L6" s="9" t="str">
        <f>IFERROR(IF(Master!K87="", "", Master!K87), "")</f>
        <v>A Lam</v>
      </c>
      <c r="M6" s="9" t="str">
        <f>IFERROR(IF(Master!L87="", "", Master!L87), "")</f>
        <v>A Lam</v>
      </c>
      <c r="N6" s="9" t="str">
        <f>IFERROR(IF(Master!M87="", "", Master!M87), "")</f>
        <v>Katrina</v>
      </c>
      <c r="O6" s="9" t="str">
        <f>IFERROR(IF(Master!N87="", "", Master!N87), "")</f>
        <v>Katrina</v>
      </c>
      <c r="P6" s="9" t="str">
        <f>IFERROR(IF(Master!O87="", "", Master!O87), "")</f>
        <v>Katrina</v>
      </c>
      <c r="Q6" s="9" t="str">
        <f>IFERROR(IF(Master!P87="", "", Master!P87), "")</f>
        <v>Katrina</v>
      </c>
      <c r="R6" s="9" t="str">
        <f>IFERROR(IF(Master!Q87="", "", Master!Q87), "")</f>
        <v>Katrina</v>
      </c>
      <c r="S6" s="9" t="str">
        <f>IFERROR(IF(Master!R87="", "", Master!R87), "")</f>
        <v>Katrina</v>
      </c>
      <c r="T6" s="9" t="str">
        <f>IFERROR(IF(Master!S87="", "", Master!S87), "")</f>
        <v>Katrina</v>
      </c>
      <c r="U6" s="9" t="str">
        <f>IFERROR(IF(Master!T87="", "", Master!T87), "")</f>
        <v>Katrina</v>
      </c>
      <c r="V6" s="9" t="str">
        <f>IFERROR(IF(Master!U87="", "", Master!U87), "")</f>
        <v>Katrina</v>
      </c>
      <c r="W6" s="9" t="str">
        <f>IFERROR(IF(Master!V87="", "", Master!V87), "")</f>
        <v>Katrina</v>
      </c>
      <c r="X6" s="9" t="str">
        <f>IFERROR(IF(Master!W87="", "", Master!W87), "")</f>
        <v>Katrina</v>
      </c>
      <c r="Y6" s="9" t="str">
        <f>IFERROR(IF(Master!X87="", "", Master!X87), "")</f>
        <v>Katrina</v>
      </c>
      <c r="Z6" s="9" t="str">
        <f>IFERROR(IF(Master!Y87="", "", Master!Y87), "")</f>
        <v>Katrina</v>
      </c>
      <c r="AA6" s="9" t="str">
        <f>IFERROR(IF(Master!Z87="", "", Master!Z87), "")</f>
        <v>Katrina</v>
      </c>
      <c r="AB6" s="9" t="str">
        <f>IFERROR(IF(Master!AA87="", "", Master!AA87), "")</f>
        <v>Melody</v>
      </c>
      <c r="AC6" s="9" t="str">
        <f>IFERROR(IF(Master!AB87="", "", Master!AB87), "")</f>
        <v>Melody</v>
      </c>
      <c r="AD6" s="9" t="str">
        <f>IFERROR(IF(Master!AC87="", "", Master!AC87), "")</f>
        <v>Melody</v>
      </c>
      <c r="AE6" s="9" t="str">
        <f>IFERROR(IF(Master!AD87="", "", Master!AD87), "")</f>
        <v>Melody</v>
      </c>
      <c r="AF6" s="9" t="str">
        <f>IFERROR(IF(Master!AE87="", "", Master!AE87), "")</f>
        <v>Melody</v>
      </c>
      <c r="AG6" s="9" t="str">
        <f>IFERROR(IF(Master!AF87="", "", Master!AF87), "")</f>
        <v>Melody</v>
      </c>
    </row>
    <row r="7" spans="1:42">
      <c r="C7" s="9" t="str">
        <f>IFERROR(IF(Master!B88="", "", Master!B88), "")</f>
        <v>Katrina</v>
      </c>
      <c r="D7" s="9" t="str">
        <f>IFERROR(IF(Master!C88="", "", Master!C88), "")</f>
        <v>Katrina</v>
      </c>
      <c r="E7" s="9" t="str">
        <f>IFERROR(IF(Master!D88="", "", Master!D88), "")</f>
        <v>Katrina</v>
      </c>
      <c r="F7" s="9" t="str">
        <f>IFERROR(IF(Master!E88="", "", Master!E88), "")</f>
        <v>Katrina</v>
      </c>
      <c r="G7" s="9" t="str">
        <f>IFERROR(IF(Master!F88="", "", Master!F88), "")</f>
        <v>Melody</v>
      </c>
      <c r="H7" s="9" t="str">
        <f>IFERROR(IF(Master!G88="", "", Master!G88), "")</f>
        <v>Melody</v>
      </c>
      <c r="I7" s="9" t="str">
        <f>IFERROR(IF(Master!H88="", "", Master!H88), "")</f>
        <v>Melody</v>
      </c>
      <c r="J7" s="9" t="str">
        <f>IFERROR(IF(Master!I88="", "", Master!I88), "")</f>
        <v>Melody</v>
      </c>
      <c r="K7" s="9" t="str">
        <f>IFERROR(IF(Master!J88="", "", Master!J88), "")</f>
        <v>Melody</v>
      </c>
      <c r="L7" s="9" t="str">
        <f>IFERROR(IF(Master!K88="", "", Master!K88), "")</f>
        <v>Melody</v>
      </c>
      <c r="M7" s="9" t="str">
        <f>IFERROR(IF(Master!L88="", "", Master!L88), "")</f>
        <v>Melody</v>
      </c>
      <c r="N7" s="9" t="str">
        <f>IFERROR(IF(Master!M88="", "", Master!M88), "")</f>
        <v>Melody</v>
      </c>
      <c r="O7" s="9" t="str">
        <f>IFERROR(IF(Master!N88="", "", Master!N88), "")</f>
        <v>Melody</v>
      </c>
      <c r="P7" s="9" t="str">
        <f>IFERROR(IF(Master!O88="", "", Master!O88), "")</f>
        <v>Melody</v>
      </c>
      <c r="Q7" s="9" t="str">
        <f>IFERROR(IF(Master!P88="", "", Master!P88), "")</f>
        <v>Melody</v>
      </c>
      <c r="R7" s="9" t="str">
        <f>IFERROR(IF(Master!Q88="", "", Master!Q88), "")</f>
        <v>Melody</v>
      </c>
      <c r="S7" s="9" t="str">
        <f>IFERROR(IF(Master!R88="", "", Master!R88), "")</f>
        <v>Melody</v>
      </c>
      <c r="T7" s="9" t="str">
        <f>IFERROR(IF(Master!S88="", "", Master!S88), "")</f>
        <v>Melody</v>
      </c>
      <c r="U7" s="9" t="str">
        <f>IFERROR(IF(Master!T88="", "", Master!T88), "")</f>
        <v>Melody</v>
      </c>
      <c r="V7" s="9" t="str">
        <f>IFERROR(IF(Master!U88="", "", Master!U88), "")</f>
        <v>A Lam</v>
      </c>
      <c r="W7" s="9" t="str">
        <f>IFERROR(IF(Master!V88="", "", Master!V88), "")</f>
        <v>A Lam</v>
      </c>
      <c r="X7" s="9" t="str">
        <f>IFERROR(IF(Master!W88="", "", Master!W88), "")</f>
        <v>A Lam</v>
      </c>
      <c r="Y7" s="9" t="str">
        <f>IFERROR(IF(Master!X88="", "", Master!X88), "")</f>
        <v>A Lam</v>
      </c>
      <c r="Z7" s="9" t="str">
        <f>IFERROR(IF(Master!Y88="", "", Master!Y88), "")</f>
        <v>A Lam</v>
      </c>
      <c r="AA7" s="9" t="str">
        <f>IFERROR(IF(Master!Z88="", "", Master!Z88), "")</f>
        <v>A Lam</v>
      </c>
      <c r="AB7" s="9" t="str">
        <f>IFERROR(IF(Master!AA88="", "", Master!AA88), "")</f>
        <v>Ka Po</v>
      </c>
      <c r="AC7" s="9" t="str">
        <f>IFERROR(IF(Master!AB88="", "", Master!AB88), "")</f>
        <v>Ka Po</v>
      </c>
      <c r="AD7" s="9" t="str">
        <f>IFERROR(IF(Master!AC88="", "", Master!AC88), "")</f>
        <v>Ka Po</v>
      </c>
      <c r="AE7" s="9" t="str">
        <f>IFERROR(IF(Master!AD88="", "", Master!AD88), "")</f>
        <v>Ka Po</v>
      </c>
      <c r="AF7" s="9" t="str">
        <f>IFERROR(IF(Master!AE88="", "", Master!AE88), "")</f>
        <v>Ka Po</v>
      </c>
      <c r="AG7" s="9" t="str">
        <f>IFERROR(IF(Master!AF88="", "", Master!AF88), "")</f>
        <v>Ka Po</v>
      </c>
    </row>
    <row r="8" spans="1:42">
      <c r="C8" s="9" t="str">
        <f>IFERROR(IF(Master!B89="", "", Master!B89), "")</f>
        <v/>
      </c>
      <c r="D8" s="9" t="str">
        <f>IFERROR(IF(Master!C89="", "", Master!C89), "")</f>
        <v/>
      </c>
      <c r="E8" s="9" t="str">
        <f>IFERROR(IF(Master!D89="", "", Master!D89), "")</f>
        <v/>
      </c>
      <c r="F8" s="9" t="str">
        <f>IFERROR(IF(Master!E89="", "", Master!E89), "")</f>
        <v/>
      </c>
      <c r="G8" s="9" t="str">
        <f>IFERROR(IF(Master!F89="", "", Master!F89), "")</f>
        <v/>
      </c>
      <c r="H8" s="9" t="str">
        <f>IFERROR(IF(Master!G89="", "", Master!G89), "")</f>
        <v/>
      </c>
      <c r="I8" s="9" t="str">
        <f>IFERROR(IF(Master!H89="", "", Master!H89), "")</f>
        <v/>
      </c>
      <c r="J8" s="9" t="str">
        <f>IFERROR(IF(Master!I89="", "", Master!I89), "")</f>
        <v/>
      </c>
      <c r="K8" s="9" t="str">
        <f>IFERROR(IF(Master!J89="", "", Master!J89), "")</f>
        <v/>
      </c>
      <c r="L8" s="9" t="str">
        <f>IFERROR(IF(Master!K89="", "", Master!K89), "")</f>
        <v/>
      </c>
      <c r="M8" s="9" t="str">
        <f>IFERROR(IF(Master!L89="", "", Master!L89), "")</f>
        <v/>
      </c>
      <c r="N8" s="9" t="str">
        <f>IFERROR(IF(Master!M89="", "", Master!M89), "")</f>
        <v/>
      </c>
      <c r="O8" s="9" t="str">
        <f>IFERROR(IF(Master!N89="", "", Master!N89), "")</f>
        <v/>
      </c>
      <c r="P8" s="9" t="str">
        <f>IFERROR(IF(Master!O89="", "", Master!O89), "")</f>
        <v/>
      </c>
      <c r="Q8" s="9" t="str">
        <f>IFERROR(IF(Master!P89="", "", Master!P89), "")</f>
        <v/>
      </c>
      <c r="R8" s="9" t="str">
        <f>IFERROR(IF(Master!Q89="", "", Master!Q89), "")</f>
        <v/>
      </c>
      <c r="S8" s="9" t="str">
        <f>IFERROR(IF(Master!R89="", "", Master!R89), "")</f>
        <v/>
      </c>
      <c r="T8" s="9" t="str">
        <f>IFERROR(IF(Master!S89="", "", Master!S89), "")</f>
        <v/>
      </c>
      <c r="U8" s="9" t="str">
        <f>IFERROR(IF(Master!T89="", "", Master!T89), "")</f>
        <v/>
      </c>
      <c r="V8" s="9" t="str">
        <f>IFERROR(IF(Master!U89="", "", Master!U89), "")</f>
        <v/>
      </c>
      <c r="W8" s="9" t="str">
        <f>IFERROR(IF(Master!V89="", "", Master!V89), "")</f>
        <v/>
      </c>
      <c r="X8" s="9" t="str">
        <f>IFERROR(IF(Master!W89="", "", Master!W89), "")</f>
        <v/>
      </c>
      <c r="Y8" s="9" t="str">
        <f>IFERROR(IF(Master!X89="", "", Master!X89), "")</f>
        <v/>
      </c>
      <c r="Z8" s="9" t="str">
        <f>IFERROR(IF(Master!Y89="", "", Master!Y89), "")</f>
        <v/>
      </c>
      <c r="AA8" s="9" t="str">
        <f>IFERROR(IF(Master!Z89="", "", Master!Z89), "")</f>
        <v/>
      </c>
      <c r="AB8" s="9" t="str">
        <f>IFERROR(IF(Master!AA89="", "", Master!AA89), "")</f>
        <v/>
      </c>
      <c r="AC8" s="9" t="str">
        <f>IFERROR(IF(Master!AB89="", "", Master!AB89), "")</f>
        <v/>
      </c>
      <c r="AD8" s="9" t="str">
        <f>IFERROR(IF(Master!AC89="", "", Master!AC89), "")</f>
        <v/>
      </c>
      <c r="AE8" s="9" t="str">
        <f>IFERROR(IF(Master!AD89="", "", Master!AD89), "")</f>
        <v/>
      </c>
      <c r="AF8" s="9" t="str">
        <f>IFERROR(IF(Master!AE89="", "", Master!AE89), "")</f>
        <v/>
      </c>
      <c r="AG8" s="9" t="str">
        <f>IFERROR(IF(Master!AF89="", "", Master!AF89), "")</f>
        <v/>
      </c>
    </row>
    <row r="9" spans="1:42">
      <c r="C9" s="9" t="str">
        <f>IFERROR(IF(Master!B90="", "", Master!B90), "")</f>
        <v/>
      </c>
      <c r="D9" s="9" t="str">
        <f>IFERROR(IF(Master!C90="", "", Master!C90), "")</f>
        <v/>
      </c>
      <c r="E9" s="9" t="str">
        <f>IFERROR(IF(Master!D90="", "", Master!D90), "")</f>
        <v/>
      </c>
      <c r="F9" s="9" t="str">
        <f>IFERROR(IF(Master!E90="", "", Master!E90), "")</f>
        <v/>
      </c>
      <c r="G9" s="9" t="str">
        <f>IFERROR(IF(Master!F90="", "", Master!F90), "")</f>
        <v/>
      </c>
      <c r="H9" s="9" t="str">
        <f>IFERROR(IF(Master!G90="", "", Master!G90), "")</f>
        <v/>
      </c>
      <c r="I9" s="9" t="str">
        <f>IFERROR(IF(Master!H90="", "", Master!H90), "")</f>
        <v/>
      </c>
      <c r="J9" s="9" t="str">
        <f>IFERROR(IF(Master!I90="", "", Master!I90), "")</f>
        <v/>
      </c>
      <c r="K9" s="9" t="str">
        <f>IFERROR(IF(Master!J90="", "", Master!J90), "")</f>
        <v/>
      </c>
      <c r="L9" s="9" t="str">
        <f>IFERROR(IF(Master!K90="", "", Master!K90), "")</f>
        <v/>
      </c>
      <c r="M9" s="9" t="str">
        <f>IFERROR(IF(Master!L90="", "", Master!L90), "")</f>
        <v/>
      </c>
      <c r="N9" s="9" t="str">
        <f>IFERROR(IF(Master!M90="", "", Master!M90), "")</f>
        <v>Ka Po</v>
      </c>
      <c r="O9" s="9" t="str">
        <f>IFERROR(IF(Master!N90="", "", Master!N90), "")</f>
        <v>Ka Po</v>
      </c>
      <c r="P9" s="9" t="str">
        <f>IFERROR(IF(Master!O90="", "", Master!O90), "")</f>
        <v>Ka Po</v>
      </c>
      <c r="Q9" s="9" t="str">
        <f>IFERROR(IF(Master!P90="", "", Master!P90), "")</f>
        <v>Ka Po</v>
      </c>
      <c r="R9" s="9" t="str">
        <f>IFERROR(IF(Master!Q90="", "", Master!Q90), "")</f>
        <v>Ka Po</v>
      </c>
      <c r="S9" s="9" t="str">
        <f>IFERROR(IF(Master!R90="", "", Master!R90), "")</f>
        <v>Ka Po</v>
      </c>
      <c r="T9" s="9" t="str">
        <f>IFERROR(IF(Master!S90="", "", Master!S90), "")</f>
        <v>Ka Po</v>
      </c>
      <c r="U9" s="9" t="str">
        <f>IFERROR(IF(Master!T90="", "", Master!T90), "")</f>
        <v>YOKO</v>
      </c>
      <c r="V9" s="9" t="str">
        <f>IFERROR(IF(Master!U90="", "", Master!U90), "")</f>
        <v>YOKO</v>
      </c>
      <c r="W9" s="9" t="str">
        <f>IFERROR(IF(Master!V90="", "", Master!V90), "")</f>
        <v>YOKO</v>
      </c>
      <c r="X9" s="9" t="str">
        <f>IFERROR(IF(Master!W90="", "", Master!W90), "")</f>
        <v>YOKO</v>
      </c>
      <c r="Y9" s="9" t="str">
        <f>IFERROR(IF(Master!X90="", "", Master!X90), "")</f>
        <v>YOKO</v>
      </c>
      <c r="Z9" s="9" t="str">
        <f>IFERROR(IF(Master!Y90="", "", Master!Y90), "")</f>
        <v>YOKO</v>
      </c>
      <c r="AA9" s="9" t="str">
        <f>IFERROR(IF(Master!Z90="", "", Master!Z90), "")</f>
        <v>YOKO</v>
      </c>
      <c r="AB9" s="9" t="str">
        <f>IFERROR(IF(Master!AA90="", "", Master!AA90), "")</f>
        <v>YOKO</v>
      </c>
      <c r="AC9" s="9" t="str">
        <f>IFERROR(IF(Master!AB90="", "", Master!AB90), "")</f>
        <v>YOKO</v>
      </c>
      <c r="AD9" s="9" t="str">
        <f>IFERROR(IF(Master!AC90="", "", Master!AC90), "")</f>
        <v>YOKO</v>
      </c>
      <c r="AE9" s="9" t="str">
        <f>IFERROR(IF(Master!AD90="", "", Master!AD90), "")</f>
        <v>YOKO</v>
      </c>
      <c r="AF9" s="9" t="str">
        <f>IFERROR(IF(Master!AE90="", "", Master!AE90), "")</f>
        <v>YOKO</v>
      </c>
      <c r="AG9" s="9" t="str">
        <f>IFERROR(IF(Master!AF90="", "", Master!AF90), "")</f>
        <v>YOKO</v>
      </c>
    </row>
    <row r="10" spans="1:42">
      <c r="C10" s="9" t="str">
        <f>IFERROR(IF(Master!B91="", "", Master!B91), "")</f>
        <v/>
      </c>
      <c r="D10" s="9" t="str">
        <f>IFERROR(IF(Master!C91="", "", Master!C91), "")</f>
        <v/>
      </c>
      <c r="E10" s="9" t="str">
        <f>IFERROR(IF(Master!D91="", "", Master!D91), "")</f>
        <v/>
      </c>
      <c r="F10" s="9" t="str">
        <f>IFERROR(IF(Master!E91="", "", Master!E91), "")</f>
        <v/>
      </c>
      <c r="G10" s="9" t="str">
        <f>IFERROR(IF(Master!F91="", "", Master!F91), "")</f>
        <v/>
      </c>
      <c r="H10" s="9" t="str">
        <f>IFERROR(IF(Master!G91="", "", Master!G91), "")</f>
        <v/>
      </c>
      <c r="I10" s="9" t="str">
        <f>IFERROR(IF(Master!H91="", "", Master!H91), "")</f>
        <v/>
      </c>
      <c r="J10" s="9" t="str">
        <f>IFERROR(IF(Master!I91="", "", Master!I91), "")</f>
        <v/>
      </c>
      <c r="K10" s="9" t="str">
        <f>IFERROR(IF(Master!J91="", "", Master!J91), "")</f>
        <v/>
      </c>
      <c r="L10" s="9" t="str">
        <f>IFERROR(IF(Master!K91="", "", Master!K91), "")</f>
        <v/>
      </c>
      <c r="M10" s="9" t="str">
        <f>IFERROR(IF(Master!L91="", "", Master!L91), "")</f>
        <v/>
      </c>
      <c r="N10" s="9" t="str">
        <f>IFERROR(IF(Master!M91="", "", Master!M91), "")</f>
        <v/>
      </c>
      <c r="O10" s="9" t="str">
        <f>IFERROR(IF(Master!N91="", "", Master!N91), "")</f>
        <v/>
      </c>
      <c r="P10" s="9" t="str">
        <f>IFERROR(IF(Master!O91="", "", Master!O91), "")</f>
        <v/>
      </c>
      <c r="Q10" s="9" t="str">
        <f>IFERROR(IF(Master!P91="", "", Master!P91), "")</f>
        <v/>
      </c>
      <c r="R10" s="9" t="str">
        <f>IFERROR(IF(Master!Q91="", "", Master!Q91), "")</f>
        <v/>
      </c>
      <c r="S10" s="9" t="str">
        <f>IFERROR(IF(Master!R91="", "", Master!R91), "")</f>
        <v/>
      </c>
      <c r="T10" s="9" t="str">
        <f>IFERROR(IF(Master!S91="", "", Master!S91), "")</f>
        <v/>
      </c>
      <c r="U10" s="9" t="str">
        <f>IFERROR(IF(Master!T91="", "", Master!T91), "")</f>
        <v/>
      </c>
      <c r="V10" s="9" t="str">
        <f>IFERROR(IF(Master!U91="", "", Master!U91), "")</f>
        <v/>
      </c>
      <c r="W10" s="9" t="str">
        <f>IFERROR(IF(Master!V91="", "", Master!V91), "")</f>
        <v/>
      </c>
      <c r="X10" s="9" t="str">
        <f>IFERROR(IF(Master!W91="", "", Master!W91), "")</f>
        <v/>
      </c>
      <c r="Y10" s="9" t="str">
        <f>IFERROR(IF(Master!X91="", "", Master!X91), "")</f>
        <v/>
      </c>
      <c r="Z10" s="9" t="str">
        <f>IFERROR(IF(Master!Y91="", "", Master!Y91), "")</f>
        <v/>
      </c>
      <c r="AA10" s="9" t="str">
        <f>IFERROR(IF(Master!Z91="", "", Master!Z91), "")</f>
        <v/>
      </c>
      <c r="AB10" s="9" t="str">
        <f>IFERROR(IF(Master!AA91="", "", Master!AA91), "")</f>
        <v/>
      </c>
      <c r="AC10" s="9" t="str">
        <f>IFERROR(IF(Master!AB91="", "", Master!AB91), "")</f>
        <v/>
      </c>
      <c r="AD10" s="9" t="str">
        <f>IFERROR(IF(Master!AC91="", "", Master!AC91), "")</f>
        <v/>
      </c>
      <c r="AE10" s="9" t="str">
        <f>IFERROR(IF(Master!AD91="", "", Master!AD91), "")</f>
        <v/>
      </c>
      <c r="AF10" s="9" t="str">
        <f>IFERROR(IF(Master!AE91="", "", Master!AE91), "")</f>
        <v/>
      </c>
      <c r="AG10" s="9" t="str">
        <f>IFERROR(IF(Master!AF91="", "", Master!AF91),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0</v>
      </c>
      <c r="E13" s="12">
        <f t="shared" si="1"/>
        <v>40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41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42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43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12">
        <f t="shared" si="1"/>
        <v>0</v>
      </c>
      <c r="AG13" s="12">
        <f t="shared" si="1"/>
        <v>44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46296</v>
      </c>
      <c r="D16" s="72">
        <f t="shared" si="2"/>
        <v>46297</v>
      </c>
      <c r="E16" s="72">
        <f t="shared" si="2"/>
        <v>46298</v>
      </c>
      <c r="F16" s="72">
        <f t="shared" si="2"/>
        <v>46299</v>
      </c>
      <c r="G16" s="72">
        <f t="shared" si="2"/>
        <v>46300</v>
      </c>
      <c r="H16" s="72">
        <f t="shared" si="2"/>
        <v>46301</v>
      </c>
      <c r="I16" s="72">
        <f t="shared" si="2"/>
        <v>46302</v>
      </c>
      <c r="J16" s="72">
        <f t="shared" si="2"/>
        <v>46303</v>
      </c>
      <c r="K16" s="72">
        <f t="shared" si="2"/>
        <v>46304</v>
      </c>
      <c r="L16" s="72">
        <f t="shared" si="2"/>
        <v>46305</v>
      </c>
      <c r="M16" s="72">
        <f t="shared" si="2"/>
        <v>46306</v>
      </c>
      <c r="N16" s="72">
        <f t="shared" si="2"/>
        <v>46307</v>
      </c>
      <c r="O16" s="72">
        <f t="shared" si="2"/>
        <v>46308</v>
      </c>
      <c r="P16" s="72">
        <f t="shared" si="2"/>
        <v>46309</v>
      </c>
      <c r="Q16" s="72">
        <f t="shared" si="2"/>
        <v>46310</v>
      </c>
      <c r="R16" s="72">
        <f t="shared" si="2"/>
        <v>46311</v>
      </c>
      <c r="S16" s="72">
        <f t="shared" si="2"/>
        <v>46312</v>
      </c>
      <c r="T16" s="72">
        <f t="shared" si="2"/>
        <v>46313</v>
      </c>
      <c r="U16" s="72">
        <f t="shared" si="2"/>
        <v>46314</v>
      </c>
      <c r="V16" s="72">
        <f t="shared" si="2"/>
        <v>46315</v>
      </c>
      <c r="W16" s="72">
        <f t="shared" si="2"/>
        <v>46316</v>
      </c>
      <c r="X16" s="72">
        <f t="shared" si="2"/>
        <v>46317</v>
      </c>
      <c r="Y16" s="72">
        <f t="shared" si="2"/>
        <v>46318</v>
      </c>
      <c r="Z16" s="72">
        <f t="shared" si="2"/>
        <v>46319</v>
      </c>
      <c r="AA16" s="72">
        <f t="shared" si="2"/>
        <v>46320</v>
      </c>
      <c r="AB16" s="72">
        <f t="shared" si="2"/>
        <v>46321</v>
      </c>
      <c r="AC16" s="72">
        <f t="shared" si="2"/>
        <v>46322</v>
      </c>
      <c r="AD16" s="72">
        <f t="shared" si="2"/>
        <v>46323</v>
      </c>
      <c r="AE16" s="72">
        <f t="shared" si="2"/>
        <v>46324</v>
      </c>
      <c r="AF16" s="72">
        <f t="shared" si="2"/>
        <v>46325</v>
      </c>
      <c r="AG16" s="54">
        <f t="shared" si="2"/>
        <v>46326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Thu</v>
      </c>
      <c r="D17" s="39" t="str">
        <f t="shared" ref="D17:AG17" si="3">TEXT(D16,"ddd")</f>
        <v>Fri</v>
      </c>
      <c r="E17" s="39" t="str">
        <f t="shared" si="3"/>
        <v>Sat</v>
      </c>
      <c r="F17" s="39" t="str">
        <f t="shared" si="3"/>
        <v>Sun</v>
      </c>
      <c r="G17" s="39" t="str">
        <f t="shared" si="3"/>
        <v>Mon</v>
      </c>
      <c r="H17" s="39" t="str">
        <f t="shared" si="3"/>
        <v>Tue</v>
      </c>
      <c r="I17" s="39" t="str">
        <f t="shared" si="3"/>
        <v>Wed</v>
      </c>
      <c r="J17" s="39" t="str">
        <f t="shared" si="3"/>
        <v>Thu</v>
      </c>
      <c r="K17" s="39" t="str">
        <f t="shared" si="3"/>
        <v>Fri</v>
      </c>
      <c r="L17" s="39" t="str">
        <f t="shared" si="3"/>
        <v>Sat</v>
      </c>
      <c r="M17" s="39" t="str">
        <f t="shared" si="3"/>
        <v>Sun</v>
      </c>
      <c r="N17" s="39" t="str">
        <f t="shared" si="3"/>
        <v>Mon</v>
      </c>
      <c r="O17" s="39" t="str">
        <f t="shared" si="3"/>
        <v>Tue</v>
      </c>
      <c r="P17" s="39" t="str">
        <f t="shared" si="3"/>
        <v>Wed</v>
      </c>
      <c r="Q17" s="39" t="str">
        <f t="shared" si="3"/>
        <v>Thu</v>
      </c>
      <c r="R17" s="39" t="str">
        <f t="shared" si="3"/>
        <v>Fri</v>
      </c>
      <c r="S17" s="39" t="str">
        <f t="shared" si="3"/>
        <v>Sat</v>
      </c>
      <c r="T17" s="39" t="str">
        <f t="shared" si="3"/>
        <v>Sun</v>
      </c>
      <c r="U17" s="39" t="str">
        <f t="shared" si="3"/>
        <v>Mon</v>
      </c>
      <c r="V17" s="39" t="str">
        <f t="shared" si="3"/>
        <v>Tue</v>
      </c>
      <c r="W17" s="39" t="str">
        <f t="shared" si="3"/>
        <v>Wed</v>
      </c>
      <c r="X17" s="39" t="str">
        <f t="shared" si="3"/>
        <v>Thu</v>
      </c>
      <c r="Y17" s="39" t="str">
        <f t="shared" si="3"/>
        <v>Fri</v>
      </c>
      <c r="Z17" s="39" t="str">
        <f t="shared" si="3"/>
        <v>Sat</v>
      </c>
      <c r="AA17" s="39" t="str">
        <f t="shared" si="3"/>
        <v>Sun</v>
      </c>
      <c r="AB17" s="39" t="str">
        <f t="shared" si="3"/>
        <v>Mon</v>
      </c>
      <c r="AC17" s="39" t="str">
        <f t="shared" si="3"/>
        <v>Tue</v>
      </c>
      <c r="AD17" s="39" t="str">
        <f t="shared" si="3"/>
        <v>Wed</v>
      </c>
      <c r="AE17" s="39" t="str">
        <f t="shared" si="3"/>
        <v>Thu</v>
      </c>
      <c r="AF17" s="39" t="str">
        <f t="shared" si="3"/>
        <v>Fri</v>
      </c>
      <c r="AG17" s="39" t="str">
        <f t="shared" si="3"/>
        <v>Sat</v>
      </c>
      <c r="AK17" s="85"/>
      <c r="AL17" s="85"/>
      <c r="AM17" s="85"/>
      <c r="AN17" s="83"/>
      <c r="AO17" s="83"/>
      <c r="AP17" s="83"/>
    </row>
    <row r="18" spans="1:42" ht="23.2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PH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HD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DO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HD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DO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HD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DO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PH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HD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DO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HD</v>
      </c>
      <c r="AK18" s="11" t="s">
        <v>118</v>
      </c>
      <c r="AL18" s="65">
        <f>SUMPRODUCT((C18:AG18="D")*8) + SUMPRODUCT((C18:AG18="E")*8) + SUMPRODUCT((C18:AG18="HD")*4)</f>
        <v>180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180</v>
      </c>
      <c r="AO18" s="67">
        <f>AN18-$AN$18</f>
        <v>0</v>
      </c>
      <c r="AP18" s="67">
        <f>AO18+Sep!AP18</f>
        <v>0</v>
      </c>
    </row>
    <row r="19" spans="1:42" ht="23.2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PH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DO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DO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DO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DO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PH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DO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DO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</v>
      </c>
      <c r="AK19" s="11" t="s">
        <v>21</v>
      </c>
      <c r="AL19" s="65">
        <f t="shared" ref="AL19:AL26" si="4">SUMPRODUCT((C19:AG19="D")*8) + SUMPRODUCT((C19:AG19="E")*8) + SUMPRODUCT((C19:AG19="HD")*4)</f>
        <v>184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184</v>
      </c>
      <c r="AO19" s="67">
        <f t="shared" ref="AO19:AO31" si="6">AN19-$AN$18</f>
        <v>4</v>
      </c>
      <c r="AP19" s="67">
        <f>AO19+Sep!AP19</f>
        <v>0</v>
      </c>
    </row>
    <row r="20" spans="1:42" ht="23.2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PH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HD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DO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HD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DO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HD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DO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PH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AL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AL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AL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AL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HDAL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DO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AL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AL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AL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AL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AL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HDAL</v>
      </c>
      <c r="AK20" s="11" t="s">
        <v>119</v>
      </c>
      <c r="AL20" s="65">
        <f t="shared" si="4"/>
        <v>100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80</v>
      </c>
      <c r="AN20" s="68">
        <f t="shared" si="5"/>
        <v>180</v>
      </c>
      <c r="AO20" s="67">
        <f t="shared" si="6"/>
        <v>0</v>
      </c>
      <c r="AP20" s="67">
        <f>AO20+Sep!AP20</f>
        <v>0</v>
      </c>
    </row>
    <row r="21" spans="1:42" ht="23.2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PH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DO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DO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E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E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E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DO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DO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DO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PH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D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DO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D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DO</v>
      </c>
      <c r="AK21" s="11" t="s">
        <v>24</v>
      </c>
      <c r="AL21" s="65">
        <f t="shared" si="4"/>
        <v>176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176</v>
      </c>
      <c r="AO21" s="67">
        <f t="shared" si="6"/>
        <v>-4</v>
      </c>
      <c r="AP21" s="67">
        <f>AO21+Sep!AP21</f>
        <v>-12</v>
      </c>
    </row>
    <row r="22" spans="1:42" ht="23.2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PH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E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DO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DO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DO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DO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PH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DO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DO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E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E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E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E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E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D</v>
      </c>
      <c r="AK22" s="11" t="s">
        <v>22</v>
      </c>
      <c r="AL22" s="65">
        <f t="shared" si="4"/>
        <v>184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184</v>
      </c>
      <c r="AO22" s="67">
        <f t="shared" si="6"/>
        <v>4</v>
      </c>
      <c r="AP22" s="67">
        <f>AO22+Sep!AP22</f>
        <v>4</v>
      </c>
    </row>
    <row r="23" spans="1:42" ht="23.2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PH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D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DO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DO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E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E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E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E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E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DO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D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DO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DO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PH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DO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DO</v>
      </c>
      <c r="AK23" s="11" t="s">
        <v>23</v>
      </c>
      <c r="AL23" s="65">
        <f t="shared" si="4"/>
        <v>176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176</v>
      </c>
      <c r="AO23" s="67">
        <f t="shared" si="6"/>
        <v>-4</v>
      </c>
      <c r="AP23" s="67">
        <f>AO23+Sep!AP23</f>
        <v>-4</v>
      </c>
    </row>
    <row r="24" spans="1:42" ht="23.2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PH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E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DO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D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DO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DO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AL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AL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AL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AL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AL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DO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DO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PH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DO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DO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E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D</v>
      </c>
      <c r="AK24" s="11" t="s">
        <v>25</v>
      </c>
      <c r="AL24" s="65">
        <f t="shared" si="4"/>
        <v>136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40</v>
      </c>
      <c r="AN24" s="68">
        <f t="shared" si="5"/>
        <v>176</v>
      </c>
      <c r="AO24" s="67">
        <f t="shared" si="6"/>
        <v>-4</v>
      </c>
      <c r="AP24" s="67">
        <f>AO24+Sep!AP24</f>
        <v>4</v>
      </c>
    </row>
    <row r="25" spans="1:42" ht="23.2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PH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DO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DO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E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E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E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E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D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DO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E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E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E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E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E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DO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PH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DO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DO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E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E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E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E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E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D</v>
      </c>
      <c r="AK25" s="11" t="s">
        <v>27</v>
      </c>
      <c r="AL25" s="65">
        <f t="shared" si="4"/>
        <v>184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184</v>
      </c>
      <c r="AO25" s="67">
        <f t="shared" si="6"/>
        <v>4</v>
      </c>
      <c r="AP25" s="67">
        <f>AO25+Sep!AP25</f>
        <v>4</v>
      </c>
    </row>
    <row r="26" spans="1:42" ht="23.2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PH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E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D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DO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DO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DO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E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E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E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E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DO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PH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E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E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E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E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DO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D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DO</v>
      </c>
      <c r="AK26" s="11" t="s">
        <v>26</v>
      </c>
      <c r="AL26" s="65">
        <f t="shared" si="4"/>
        <v>184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184</v>
      </c>
      <c r="AO26" s="67">
        <f t="shared" si="6"/>
        <v>4</v>
      </c>
      <c r="AP26" s="67">
        <f>AO26+Sep!AP26</f>
        <v>4</v>
      </c>
    </row>
    <row r="27" spans="1:42" ht="23.2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PH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DO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DO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HD2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DO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DO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DO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PH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HD2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DO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DO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AO27+Sep!AP27</f>
        <v>0</v>
      </c>
    </row>
    <row r="28" spans="1:42" ht="23.2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PH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HD2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DO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DO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DO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HD2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DO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PH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DO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DO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HD2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AO28+Sep!AP28</f>
        <v>0</v>
      </c>
    </row>
    <row r="29" spans="1:42" ht="23.2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AO29+Sep!AP29</f>
        <v>0</v>
      </c>
    </row>
    <row r="30" spans="1:42" ht="23.2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AO30+Sep!AP30</f>
        <v>0</v>
      </c>
    </row>
    <row r="31" spans="1:42" ht="23.2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PH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HD1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DO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HD1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DO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HD1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DO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PH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HD1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DO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HD1</v>
      </c>
      <c r="AK31" s="11" t="s">
        <v>136</v>
      </c>
      <c r="AL31" s="11">
        <f>SUMPRODUCT((C31:AG31="D")*8) + SUMPRODUCT((C31:AG31="E")*8) + SUMPRODUCT((C31:AG31="HD1")*4)</f>
        <v>180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180</v>
      </c>
      <c r="AO31" s="67">
        <f t="shared" si="6"/>
        <v>0</v>
      </c>
      <c r="AP31" s="67">
        <f>AO31+Sep!AP31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3">
    <cfRule type="expression" dxfId="55" priority="40">
      <formula>B$77="sun"</formula>
    </cfRule>
  </conditionalFormatting>
  <conditionalFormatting sqref="C3:AG10">
    <cfRule type="expression" dxfId="52" priority="46">
      <formula>WEEKDAY(C3,2)=7</formula>
    </cfRule>
  </conditionalFormatting>
  <conditionalFormatting sqref="C4:AG10">
    <cfRule type="expression" dxfId="51" priority="43">
      <formula>C$4="Sun"</formula>
    </cfRule>
  </conditionalFormatting>
  <conditionalFormatting sqref="C5:AG10">
    <cfRule type="expression" dxfId="50" priority="42">
      <formula>B$77="sun"</formula>
    </cfRule>
  </conditionalFormatting>
  <conditionalFormatting sqref="C17:AG17">
    <cfRule type="expression" dxfId="48" priority="28">
      <formula>C$17="sun"</formula>
    </cfRule>
    <cfRule type="expression" dxfId="47" priority="29">
      <formula>C$17="sat"</formula>
    </cfRule>
  </conditionalFormatting>
  <conditionalFormatting sqref="C18:AG31">
    <cfRule type="expression" dxfId="46" priority="1">
      <formula>C18="HDAL"</formula>
    </cfRule>
    <cfRule type="expression" dxfId="45" priority="2">
      <formula>C18="PH"</formula>
    </cfRule>
    <cfRule type="expression" dxfId="44" priority="3">
      <formula>C18="AL"</formula>
    </cfRule>
    <cfRule type="expression" dxfId="42" priority="5">
      <formula>C18="DO"</formula>
    </cfRule>
  </conditionalFormatting>
  <conditionalFormatting sqref="AO18:AP31">
    <cfRule type="expression" dxfId="41" priority="6">
      <formula>AO18&gt;0</formula>
    </cfRule>
    <cfRule type="expression" dxfId="40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CFD91401-1C5F-4FEC-B88E-6526A44D091E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C16:AF16</xm:sqref>
        </x14:conditionalFormatting>
        <x14:conditionalFormatting xmlns:xm="http://schemas.microsoft.com/office/excel/2006/main">
          <x14:cfRule type="expression" priority="24" id="{FD0925F9-7C10-45BB-9F76-D61E4CF366D9}">
            <xm:f>COUNTIF(PH!$A:$A, C3)&gt;0</xm:f>
            <x14:dxf>
              <font>
                <color rgb="FFFF0000"/>
              </font>
            </x14:dxf>
          </x14:cfRule>
          <x14:cfRule type="expression" priority="44" id="{E4A2C83D-CCBB-4A0B-8B02-0E9CBAF7D190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18" id="{D3F874D4-D518-4D68-9261-C010932386A9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4A74FA8C-2ACF-41CD-AB79-35D8089DC640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362387-AAA0-43EC-8628-89D1B90286A5}">
          <x14:formula1>
            <xm:f>'On call stat'!$T$3:$T$21</xm:f>
          </x14:formula1>
          <xm:sqref>C3:AG3 C5:AG10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0F65-2113-434B-8931-72949458CEB9}">
  <sheetPr codeName="Sheet12"/>
  <dimension ref="A1:AP48"/>
  <sheetViews>
    <sheetView topLeftCell="A19" zoomScale="40" zoomScaleNormal="40" workbookViewId="0">
      <selection activeCell="C18" sqref="C18:AF31"/>
    </sheetView>
  </sheetViews>
  <sheetFormatPr defaultRowHeight="15"/>
  <cols>
    <col min="2" max="2" width="31.42578125" customWidth="1"/>
    <col min="35" max="35" width="9.140625" style="42"/>
    <col min="36" max="36" width="0" style="42" hidden="1" customWidth="1"/>
    <col min="40" max="40" width="15.28515625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IFERROR(IF(Master!B93="", "", Master!B93), "")</f>
        <v>46327</v>
      </c>
      <c r="D3" s="9">
        <f>IFERROR(IF(Master!C93="", "", Master!C93), "")</f>
        <v>46328</v>
      </c>
      <c r="E3" s="9">
        <f>IFERROR(IF(Master!D93="", "", Master!D93), "")</f>
        <v>46329</v>
      </c>
      <c r="F3" s="9">
        <f>IFERROR(IF(Master!E93="", "", Master!E93), "")</f>
        <v>46330</v>
      </c>
      <c r="G3" s="9">
        <f>IFERROR(IF(Master!F93="", "", Master!F93), "")</f>
        <v>46331</v>
      </c>
      <c r="H3" s="9">
        <f>IFERROR(IF(Master!G93="", "", Master!G93), "")</f>
        <v>46332</v>
      </c>
      <c r="I3" s="9">
        <f>IFERROR(IF(Master!H93="", "", Master!H93), "")</f>
        <v>46333</v>
      </c>
      <c r="J3" s="9">
        <f>IFERROR(IF(Master!I93="", "", Master!I93), "")</f>
        <v>46334</v>
      </c>
      <c r="K3" s="9">
        <f>IFERROR(IF(Master!J93="", "", Master!J93), "")</f>
        <v>46335</v>
      </c>
      <c r="L3" s="9">
        <f>IFERROR(IF(Master!K93="", "", Master!K93), "")</f>
        <v>46336</v>
      </c>
      <c r="M3" s="9">
        <f>IFERROR(IF(Master!L93="", "", Master!L93), "")</f>
        <v>46337</v>
      </c>
      <c r="N3" s="9">
        <f>IFERROR(IF(Master!M93="", "", Master!M93), "")</f>
        <v>46338</v>
      </c>
      <c r="O3" s="9">
        <f>IFERROR(IF(Master!N93="", "", Master!N93), "")</f>
        <v>46339</v>
      </c>
      <c r="P3" s="9">
        <f>IFERROR(IF(Master!O93="", "", Master!O93), "")</f>
        <v>46340</v>
      </c>
      <c r="Q3" s="9">
        <f>IFERROR(IF(Master!P93="", "", Master!P93), "")</f>
        <v>46341</v>
      </c>
      <c r="R3" s="9">
        <f>IFERROR(IF(Master!Q93="", "", Master!Q93), "")</f>
        <v>46342</v>
      </c>
      <c r="S3" s="9">
        <f>IFERROR(IF(Master!R93="", "", Master!R93), "")</f>
        <v>46343</v>
      </c>
      <c r="T3" s="9">
        <f>IFERROR(IF(Master!S93="", "", Master!S93), "")</f>
        <v>46344</v>
      </c>
      <c r="U3" s="9">
        <f>IFERROR(IF(Master!T93="", "", Master!T93), "")</f>
        <v>46345</v>
      </c>
      <c r="V3" s="9">
        <f>IFERROR(IF(Master!U93="", "", Master!U93), "")</f>
        <v>46346</v>
      </c>
      <c r="W3" s="9">
        <f>IFERROR(IF(Master!V93="", "", Master!V93), "")</f>
        <v>46347</v>
      </c>
      <c r="X3" s="9">
        <f>IFERROR(IF(Master!W93="", "", Master!W93), "")</f>
        <v>46348</v>
      </c>
      <c r="Y3" s="9">
        <f>IFERROR(IF(Master!X93="", "", Master!X93), "")</f>
        <v>46349</v>
      </c>
      <c r="Z3" s="9">
        <f>IFERROR(IF(Master!Y93="", "", Master!Y93), "")</f>
        <v>46350</v>
      </c>
      <c r="AA3" s="9">
        <f>IFERROR(IF(Master!Z93="", "", Master!Z93), "")</f>
        <v>46351</v>
      </c>
      <c r="AB3" s="9">
        <f>IFERROR(IF(Master!AA93="", "", Master!AA93), "")</f>
        <v>46352</v>
      </c>
      <c r="AC3" s="9">
        <f>IFERROR(IF(Master!AB93="", "", Master!AB93), "")</f>
        <v>46353</v>
      </c>
      <c r="AD3" s="9">
        <f>IFERROR(IF(Master!AC93="", "", Master!AC93), "")</f>
        <v>46354</v>
      </c>
      <c r="AE3" s="9">
        <f>IFERROR(IF(Master!AD93="", "", Master!AD93), "")</f>
        <v>46355</v>
      </c>
      <c r="AF3" s="49">
        <f>IFERROR(IF(Master!AE93="", "", Master!AE93), "")</f>
        <v>46356</v>
      </c>
    </row>
    <row r="4" spans="1:42">
      <c r="C4" s="13" t="str">
        <f t="shared" ref="C4:AF4" si="0">TEXT(C3,"ddd")</f>
        <v>Sun</v>
      </c>
      <c r="D4" s="13" t="str">
        <f t="shared" si="0"/>
        <v>Mon</v>
      </c>
      <c r="E4" s="13" t="str">
        <f t="shared" si="0"/>
        <v>Tue</v>
      </c>
      <c r="F4" s="13" t="str">
        <f t="shared" si="0"/>
        <v>Wed</v>
      </c>
      <c r="G4" s="13" t="str">
        <f t="shared" si="0"/>
        <v>Thu</v>
      </c>
      <c r="H4" s="13" t="str">
        <f t="shared" si="0"/>
        <v>Fri</v>
      </c>
      <c r="I4" s="13" t="str">
        <f t="shared" si="0"/>
        <v>Sat</v>
      </c>
      <c r="J4" s="13" t="str">
        <f t="shared" si="0"/>
        <v>Sun</v>
      </c>
      <c r="K4" s="13" t="str">
        <f t="shared" si="0"/>
        <v>Mon</v>
      </c>
      <c r="L4" s="13" t="str">
        <f t="shared" si="0"/>
        <v>Tue</v>
      </c>
      <c r="M4" s="13" t="str">
        <f t="shared" si="0"/>
        <v>Wed</v>
      </c>
      <c r="N4" s="13" t="str">
        <f t="shared" si="0"/>
        <v>Thu</v>
      </c>
      <c r="O4" s="13" t="str">
        <f t="shared" si="0"/>
        <v>Fri</v>
      </c>
      <c r="P4" s="13" t="str">
        <f t="shared" si="0"/>
        <v>Sat</v>
      </c>
      <c r="Q4" s="13" t="str">
        <f t="shared" si="0"/>
        <v>Sun</v>
      </c>
      <c r="R4" s="13" t="str">
        <f t="shared" si="0"/>
        <v>Mon</v>
      </c>
      <c r="S4" s="13" t="str">
        <f t="shared" si="0"/>
        <v>Tue</v>
      </c>
      <c r="T4" s="13" t="str">
        <f t="shared" si="0"/>
        <v>Wed</v>
      </c>
      <c r="U4" s="13" t="str">
        <f t="shared" si="0"/>
        <v>Thu</v>
      </c>
      <c r="V4" s="13" t="str">
        <f t="shared" si="0"/>
        <v>Fri</v>
      </c>
      <c r="W4" s="13" t="str">
        <f t="shared" si="0"/>
        <v>Sat</v>
      </c>
      <c r="X4" s="13" t="str">
        <f t="shared" si="0"/>
        <v>Sun</v>
      </c>
      <c r="Y4" s="13" t="str">
        <f t="shared" si="0"/>
        <v>Mon</v>
      </c>
      <c r="Z4" s="13" t="str">
        <f t="shared" si="0"/>
        <v>Tue</v>
      </c>
      <c r="AA4" s="13" t="str">
        <f t="shared" si="0"/>
        <v>Wed</v>
      </c>
      <c r="AB4" s="13" t="str">
        <f t="shared" si="0"/>
        <v>Thu</v>
      </c>
      <c r="AC4" s="13" t="str">
        <f t="shared" si="0"/>
        <v>Fri</v>
      </c>
      <c r="AD4" s="13" t="str">
        <f t="shared" si="0"/>
        <v>Sat</v>
      </c>
      <c r="AE4" s="13" t="str">
        <f t="shared" si="0"/>
        <v>Sun</v>
      </c>
      <c r="AF4" s="57" t="str">
        <f t="shared" si="0"/>
        <v>Mon</v>
      </c>
    </row>
    <row r="5" spans="1:42">
      <c r="C5" s="9" t="str">
        <f>IFERROR(IF(Master!B95="", "", Master!B95), "")</f>
        <v>Amy</v>
      </c>
      <c r="D5" s="9" t="str">
        <f>IFERROR(IF(Master!C95="", "", Master!C95), "")</f>
        <v>Dicky</v>
      </c>
      <c r="E5" s="9" t="str">
        <f>IFERROR(IF(Master!D95="", "", Master!D95), "")</f>
        <v>Dicky</v>
      </c>
      <c r="F5" s="9" t="str">
        <f>IFERROR(IF(Master!E95="", "", Master!E95), "")</f>
        <v>Dicky</v>
      </c>
      <c r="G5" s="9" t="str">
        <f>IFERROR(IF(Master!F95="", "", Master!F95), "")</f>
        <v>Dicky</v>
      </c>
      <c r="H5" s="9" t="str">
        <f>IFERROR(IF(Master!G95="", "", Master!G95), "")</f>
        <v>Dicky</v>
      </c>
      <c r="I5" s="9" t="str">
        <f>IFERROR(IF(Master!H95="", "", Master!H95), "")</f>
        <v>Dicky</v>
      </c>
      <c r="J5" s="9" t="str">
        <f>IFERROR(IF(Master!I95="", "", Master!I95), "")</f>
        <v>Dicky</v>
      </c>
      <c r="K5" s="9" t="str">
        <f>IFERROR(IF(Master!J95="", "", Master!J95), "")</f>
        <v>Amy</v>
      </c>
      <c r="L5" s="9" t="str">
        <f>IFERROR(IF(Master!K95="", "", Master!K95), "")</f>
        <v>Amy</v>
      </c>
      <c r="M5" s="9" t="str">
        <f>IFERROR(IF(Master!L95="", "", Master!L95), "")</f>
        <v>Amy</v>
      </c>
      <c r="N5" s="9" t="str">
        <f>IFERROR(IF(Master!M95="", "", Master!M95), "")</f>
        <v>Amy</v>
      </c>
      <c r="O5" s="9" t="str">
        <f>IFERROR(IF(Master!N95="", "", Master!N95), "")</f>
        <v>Amy</v>
      </c>
      <c r="P5" s="9" t="str">
        <f>IFERROR(IF(Master!O95="", "", Master!O95), "")</f>
        <v>Amy</v>
      </c>
      <c r="Q5" s="9" t="str">
        <f>IFERROR(IF(Master!P95="", "", Master!P95), "")</f>
        <v>Amy</v>
      </c>
      <c r="R5" s="9" t="str">
        <f>IFERROR(IF(Master!Q95="", "", Master!Q95), "")</f>
        <v>Dicky</v>
      </c>
      <c r="S5" s="9" t="str">
        <f>IFERROR(IF(Master!R95="", "", Master!R95), "")</f>
        <v>Dicky</v>
      </c>
      <c r="T5" s="9" t="str">
        <f>IFERROR(IF(Master!S95="", "", Master!S95), "")</f>
        <v>Dicky</v>
      </c>
      <c r="U5" s="9" t="str">
        <f>IFERROR(IF(Master!T95="", "", Master!T95), "")</f>
        <v>Dicky</v>
      </c>
      <c r="V5" s="9" t="str">
        <f>IFERROR(IF(Master!U95="", "", Master!U95), "")</f>
        <v>Dicky</v>
      </c>
      <c r="W5" s="9" t="str">
        <f>IFERROR(IF(Master!V95="", "", Master!V95), "")</f>
        <v>Dicky</v>
      </c>
      <c r="X5" s="9" t="str">
        <f>IFERROR(IF(Master!W95="", "", Master!W95), "")</f>
        <v>Dicky</v>
      </c>
      <c r="Y5" s="9" t="str">
        <f>IFERROR(IF(Master!X95="", "", Master!X95), "")</f>
        <v>Amy</v>
      </c>
      <c r="Z5" s="9" t="str">
        <f>IFERROR(IF(Master!Y95="", "", Master!Y95), "")</f>
        <v>Amy</v>
      </c>
      <c r="AA5" s="9" t="str">
        <f>IFERROR(IF(Master!Z95="", "", Master!Z95), "")</f>
        <v>Amy</v>
      </c>
      <c r="AB5" s="9" t="str">
        <f>IFERROR(IF(Master!AA95="", "", Master!AA95), "")</f>
        <v>Amy</v>
      </c>
      <c r="AC5" s="9" t="str">
        <f>IFERROR(IF(Master!AB95="", "", Master!AB95), "")</f>
        <v>Amy</v>
      </c>
      <c r="AD5" s="9" t="str">
        <f>IFERROR(IF(Master!AC95="", "", Master!AC95), "")</f>
        <v>Amy</v>
      </c>
      <c r="AE5" s="9" t="str">
        <f>IFERROR(IF(Master!AD95="", "", Master!AD95), "")</f>
        <v>Amy</v>
      </c>
      <c r="AF5" s="49" t="str">
        <f>IFERROR(IF(Master!AE95="", "", Master!AE95), "")</f>
        <v>Amy</v>
      </c>
    </row>
    <row r="6" spans="1:42">
      <c r="C6" s="9" t="str">
        <f>IFERROR(IF(Master!B96="", "", Master!B96), "")</f>
        <v>Melody</v>
      </c>
      <c r="D6" s="9" t="str">
        <f>IFERROR(IF(Master!C96="", "", Master!C96), "")</f>
        <v>A Lam</v>
      </c>
      <c r="E6" s="9" t="str">
        <f>IFERROR(IF(Master!D96="", "", Master!D96), "")</f>
        <v>A Lam</v>
      </c>
      <c r="F6" s="9" t="str">
        <f>IFERROR(IF(Master!E96="", "", Master!E96), "")</f>
        <v>A Lam</v>
      </c>
      <c r="G6" s="9" t="str">
        <f>IFERROR(IF(Master!F96="", "", Master!F96), "")</f>
        <v>A Lam</v>
      </c>
      <c r="H6" s="9" t="str">
        <f>IFERROR(IF(Master!G96="", "", Master!G96), "")</f>
        <v>A Lam</v>
      </c>
      <c r="I6" s="9" t="str">
        <f>IFERROR(IF(Master!H96="", "", Master!H96), "")</f>
        <v>A Lam</v>
      </c>
      <c r="J6" s="9" t="str">
        <f>IFERROR(IF(Master!I96="", "", Master!I96), "")</f>
        <v>A Lam</v>
      </c>
      <c r="K6" s="9" t="str">
        <f>IFERROR(IF(Master!J96="", "", Master!J96), "")</f>
        <v>Melody</v>
      </c>
      <c r="L6" s="9" t="str">
        <f>IFERROR(IF(Master!K96="", "", Master!K96), "")</f>
        <v>Melody</v>
      </c>
      <c r="M6" s="9" t="str">
        <f>IFERROR(IF(Master!L96="", "", Master!L96), "")</f>
        <v>Melody</v>
      </c>
      <c r="N6" s="9" t="str">
        <f>IFERROR(IF(Master!M96="", "", Master!M96), "")</f>
        <v>Melody</v>
      </c>
      <c r="O6" s="9" t="str">
        <f>IFERROR(IF(Master!N96="", "", Master!N96), "")</f>
        <v>Melody</v>
      </c>
      <c r="P6" s="9" t="str">
        <f>IFERROR(IF(Master!O96="", "", Master!O96), "")</f>
        <v>Melody</v>
      </c>
      <c r="Q6" s="9" t="str">
        <f>IFERROR(IF(Master!P96="", "", Master!P96), "")</f>
        <v>Melody</v>
      </c>
      <c r="R6" s="9" t="str">
        <f>IFERROR(IF(Master!Q96="", "", Master!Q96), "")</f>
        <v>A Lam</v>
      </c>
      <c r="S6" s="9" t="str">
        <f>IFERROR(IF(Master!R96="", "", Master!R96), "")</f>
        <v>A Lam</v>
      </c>
      <c r="T6" s="9" t="str">
        <f>IFERROR(IF(Master!S96="", "", Master!S96), "")</f>
        <v>A Lam</v>
      </c>
      <c r="U6" s="9" t="str">
        <f>IFERROR(IF(Master!T96="", "", Master!T96), "")</f>
        <v>A Lam</v>
      </c>
      <c r="V6" s="9" t="str">
        <f>IFERROR(IF(Master!U96="", "", Master!U96), "")</f>
        <v>A Lam</v>
      </c>
      <c r="W6" s="9" t="str">
        <f>IFERROR(IF(Master!V96="", "", Master!V96), "")</f>
        <v>A Lam</v>
      </c>
      <c r="X6" s="9" t="str">
        <f>IFERROR(IF(Master!W96="", "", Master!W96), "")</f>
        <v>A Lam</v>
      </c>
      <c r="Y6" s="9" t="str">
        <f>IFERROR(IF(Master!X96="", "", Master!X96), "")</f>
        <v>Dicky</v>
      </c>
      <c r="Z6" s="9" t="str">
        <f>IFERROR(IF(Master!Y96="", "", Master!Y96), "")</f>
        <v>Dicky</v>
      </c>
      <c r="AA6" s="9" t="str">
        <f>IFERROR(IF(Master!Z96="", "", Master!Z96), "")</f>
        <v>Dicky</v>
      </c>
      <c r="AB6" s="9" t="str">
        <f>IFERROR(IF(Master!AA96="", "", Master!AA96), "")</f>
        <v>Dicky</v>
      </c>
      <c r="AC6" s="9" t="str">
        <f>IFERROR(IF(Master!AB96="", "", Master!AB96), "")</f>
        <v>Dicky</v>
      </c>
      <c r="AD6" s="9" t="str">
        <f>IFERROR(IF(Master!AC96="", "", Master!AC96), "")</f>
        <v>Dicky</v>
      </c>
      <c r="AE6" s="9" t="str">
        <f>IFERROR(IF(Master!AD96="", "", Master!AD96), "")</f>
        <v>Dicky</v>
      </c>
      <c r="AF6" s="49" t="str">
        <f>IFERROR(IF(Master!AE96="", "", Master!AE96), "")</f>
        <v>A Lam</v>
      </c>
    </row>
    <row r="7" spans="1:42">
      <c r="C7" s="9" t="str">
        <f>IFERROR(IF(Master!B97="", "", Master!B97), "")</f>
        <v>Ka Po</v>
      </c>
      <c r="D7" s="9" t="str">
        <f>IFERROR(IF(Master!C97="", "", Master!C97), "")</f>
        <v>Katrina</v>
      </c>
      <c r="E7" s="9" t="str">
        <f>IFERROR(IF(Master!D97="", "", Master!D97), "")</f>
        <v>Katrina</v>
      </c>
      <c r="F7" s="9" t="str">
        <f>IFERROR(IF(Master!E97="", "", Master!E97), "")</f>
        <v>Katrina</v>
      </c>
      <c r="G7" s="9" t="str">
        <f>IFERROR(IF(Master!F97="", "", Master!F97), "")</f>
        <v>Katrina</v>
      </c>
      <c r="H7" s="9" t="str">
        <f>IFERROR(IF(Master!G97="", "", Master!G97), "")</f>
        <v>Katrina</v>
      </c>
      <c r="I7" s="9" t="str">
        <f>IFERROR(IF(Master!H97="", "", Master!H97), "")</f>
        <v>Katrina</v>
      </c>
      <c r="J7" s="9" t="str">
        <f>IFERROR(IF(Master!I97="", "", Master!I97), "")</f>
        <v>Katrina</v>
      </c>
      <c r="K7" s="9" t="str">
        <f>IFERROR(IF(Master!J97="", "", Master!J97), "")</f>
        <v>Ka Po</v>
      </c>
      <c r="L7" s="9" t="str">
        <f>IFERROR(IF(Master!K97="", "", Master!K97), "")</f>
        <v>Ka Po</v>
      </c>
      <c r="M7" s="9" t="str">
        <f>IFERROR(IF(Master!L97="", "", Master!L97), "")</f>
        <v>Ka Po</v>
      </c>
      <c r="N7" s="9" t="str">
        <f>IFERROR(IF(Master!M97="", "", Master!M97), "")</f>
        <v>Ka Po</v>
      </c>
      <c r="O7" s="9" t="str">
        <f>IFERROR(IF(Master!N97="", "", Master!N97), "")</f>
        <v>Ka Po</v>
      </c>
      <c r="P7" s="9" t="str">
        <f>IFERROR(IF(Master!O97="", "", Master!O97), "")</f>
        <v>Ka Po</v>
      </c>
      <c r="Q7" s="9" t="str">
        <f>IFERROR(IF(Master!P97="", "", Master!P97), "")</f>
        <v>Ka Po</v>
      </c>
      <c r="R7" s="9" t="str">
        <f>IFERROR(IF(Master!Q97="", "", Master!Q97), "")</f>
        <v>Katrina</v>
      </c>
      <c r="S7" s="9" t="str">
        <f>IFERROR(IF(Master!R97="", "", Master!R97), "")</f>
        <v>Katrina</v>
      </c>
      <c r="T7" s="9" t="str">
        <f>IFERROR(IF(Master!S97="", "", Master!S97), "")</f>
        <v>Katrina</v>
      </c>
      <c r="U7" s="9" t="str">
        <f>IFERROR(IF(Master!T97="", "", Master!T97), "")</f>
        <v>Katrina</v>
      </c>
      <c r="V7" s="9" t="str">
        <f>IFERROR(IF(Master!U97="", "", Master!U97), "")</f>
        <v>Katrina</v>
      </c>
      <c r="W7" s="9" t="str">
        <f>IFERROR(IF(Master!V97="", "", Master!V97), "")</f>
        <v>Katrina</v>
      </c>
      <c r="X7" s="9" t="str">
        <f>IFERROR(IF(Master!W97="", "", Master!W97), "")</f>
        <v>Katrina</v>
      </c>
      <c r="Y7" s="9" t="str">
        <f>IFERROR(IF(Master!X97="", "", Master!X97), "")</f>
        <v>Ka Po</v>
      </c>
      <c r="Z7" s="9" t="str">
        <f>IFERROR(IF(Master!Y97="", "", Master!Y97), "")</f>
        <v>Ka Po</v>
      </c>
      <c r="AA7" s="9" t="str">
        <f>IFERROR(IF(Master!Z97="", "", Master!Z97), "")</f>
        <v>Ka Po</v>
      </c>
      <c r="AB7" s="9" t="str">
        <f>IFERROR(IF(Master!AA97="", "", Master!AA97), "")</f>
        <v>Ka Po</v>
      </c>
      <c r="AC7" s="9" t="str">
        <f>IFERROR(IF(Master!AB97="", "", Master!AB97), "")</f>
        <v>Ka Po</v>
      </c>
      <c r="AD7" s="9" t="str">
        <f>IFERROR(IF(Master!AC97="", "", Master!AC97), "")</f>
        <v>Ka Po</v>
      </c>
      <c r="AE7" s="9" t="str">
        <f>IFERROR(IF(Master!AD97="", "", Master!AD97), "")</f>
        <v>Ka Po</v>
      </c>
      <c r="AF7" s="49" t="str">
        <f>IFERROR(IF(Master!AE97="", "", Master!AE97), "")</f>
        <v>Katrina</v>
      </c>
    </row>
    <row r="8" spans="1:42">
      <c r="C8" s="9" t="str">
        <f>IFERROR(IF(Master!B98="", "", Master!B98), "")</f>
        <v/>
      </c>
      <c r="D8" s="9" t="str">
        <f>IFERROR(IF(Master!C98="", "", Master!C98), "")</f>
        <v/>
      </c>
      <c r="E8" s="9" t="str">
        <f>IFERROR(IF(Master!D98="", "", Master!D98), "")</f>
        <v/>
      </c>
      <c r="F8" s="9" t="str">
        <f>IFERROR(IF(Master!E98="", "", Master!E98), "")</f>
        <v/>
      </c>
      <c r="G8" s="9" t="str">
        <f>IFERROR(IF(Master!F98="", "", Master!F98), "")</f>
        <v/>
      </c>
      <c r="H8" s="9" t="str">
        <f>IFERROR(IF(Master!G98="", "", Master!G98), "")</f>
        <v/>
      </c>
      <c r="I8" s="9" t="str">
        <f>IFERROR(IF(Master!H98="", "", Master!H98), "")</f>
        <v/>
      </c>
      <c r="J8" s="9" t="str">
        <f>IFERROR(IF(Master!I98="", "", Master!I98), "")</f>
        <v/>
      </c>
      <c r="K8" s="9" t="str">
        <f>IFERROR(IF(Master!J98="", "", Master!J98), "")</f>
        <v/>
      </c>
      <c r="L8" s="9" t="str">
        <f>IFERROR(IF(Master!K98="", "", Master!K98), "")</f>
        <v/>
      </c>
      <c r="M8" s="9" t="str">
        <f>IFERROR(IF(Master!L98="", "", Master!L98), "")</f>
        <v/>
      </c>
      <c r="N8" s="9" t="str">
        <f>IFERROR(IF(Master!M98="", "", Master!M98), "")</f>
        <v/>
      </c>
      <c r="O8" s="9" t="str">
        <f>IFERROR(IF(Master!N98="", "", Master!N98), "")</f>
        <v/>
      </c>
      <c r="P8" s="9" t="str">
        <f>IFERROR(IF(Master!O98="", "", Master!O98), "")</f>
        <v/>
      </c>
      <c r="Q8" s="9" t="str">
        <f>IFERROR(IF(Master!P98="", "", Master!P98), "")</f>
        <v/>
      </c>
      <c r="R8" s="9" t="str">
        <f>IFERROR(IF(Master!Q98="", "", Master!Q98), "")</f>
        <v/>
      </c>
      <c r="S8" s="9" t="str">
        <f>IFERROR(IF(Master!R98="", "", Master!R98), "")</f>
        <v/>
      </c>
      <c r="T8" s="9" t="str">
        <f>IFERROR(IF(Master!S98="", "", Master!S98), "")</f>
        <v/>
      </c>
      <c r="U8" s="9" t="str">
        <f>IFERROR(IF(Master!T98="", "", Master!T98), "")</f>
        <v/>
      </c>
      <c r="V8" s="9" t="str">
        <f>IFERROR(IF(Master!U98="", "", Master!U98), "")</f>
        <v/>
      </c>
      <c r="W8" s="9" t="str">
        <f>IFERROR(IF(Master!V98="", "", Master!V98), "")</f>
        <v/>
      </c>
      <c r="X8" s="9" t="str">
        <f>IFERROR(IF(Master!W98="", "", Master!W98), "")</f>
        <v/>
      </c>
      <c r="Y8" s="9" t="str">
        <f>IFERROR(IF(Master!X98="", "", Master!X98), "")</f>
        <v/>
      </c>
      <c r="Z8" s="9" t="str">
        <f>IFERROR(IF(Master!Y98="", "", Master!Y98), "")</f>
        <v/>
      </c>
      <c r="AA8" s="9" t="str">
        <f>IFERROR(IF(Master!Z98="", "", Master!Z98), "")</f>
        <v/>
      </c>
      <c r="AB8" s="9" t="str">
        <f>IFERROR(IF(Master!AA98="", "", Master!AA98), "")</f>
        <v/>
      </c>
      <c r="AC8" s="9" t="str">
        <f>IFERROR(IF(Master!AB98="", "", Master!AB98), "")</f>
        <v/>
      </c>
      <c r="AD8" s="9" t="str">
        <f>IFERROR(IF(Master!AC98="", "", Master!AC98), "")</f>
        <v/>
      </c>
      <c r="AE8" s="9" t="str">
        <f>IFERROR(IF(Master!AD98="", "", Master!AD98), "")</f>
        <v/>
      </c>
      <c r="AF8" s="49" t="str">
        <f>IFERROR(IF(Master!AE98="", "", Master!AE98), "")</f>
        <v/>
      </c>
    </row>
    <row r="9" spans="1:42">
      <c r="C9" s="9" t="str">
        <f>IFERROR(IF(Master!B99="", "", Master!B99), "")</f>
        <v>YOKO</v>
      </c>
      <c r="D9" s="9" t="str">
        <f>IFERROR(IF(Master!C99="", "", Master!C99), "")</f>
        <v/>
      </c>
      <c r="E9" s="9" t="str">
        <f>IFERROR(IF(Master!D99="", "", Master!D99), "")</f>
        <v/>
      </c>
      <c r="F9" s="9" t="str">
        <f>IFERROR(IF(Master!E99="", "", Master!E99), "")</f>
        <v/>
      </c>
      <c r="G9" s="9" t="str">
        <f>IFERROR(IF(Master!F99="", "", Master!F99), "")</f>
        <v/>
      </c>
      <c r="H9" s="9" t="str">
        <f>IFERROR(IF(Master!G99="", "", Master!G99), "")</f>
        <v/>
      </c>
      <c r="I9" s="9" t="str">
        <f>IFERROR(IF(Master!H99="", "", Master!H99), "")</f>
        <v/>
      </c>
      <c r="J9" s="9" t="str">
        <f>IFERROR(IF(Master!I99="", "", Master!I99), "")</f>
        <v/>
      </c>
      <c r="K9" s="9" t="str">
        <f>IFERROR(IF(Master!J99="", "", Master!J99), "")</f>
        <v/>
      </c>
      <c r="L9" s="9" t="str">
        <f>IFERROR(IF(Master!K99="", "", Master!K99), "")</f>
        <v/>
      </c>
      <c r="M9" s="9" t="str">
        <f>IFERROR(IF(Master!L99="", "", Master!L99), "")</f>
        <v/>
      </c>
      <c r="N9" s="9" t="str">
        <f>IFERROR(IF(Master!M99="", "", Master!M99), "")</f>
        <v/>
      </c>
      <c r="O9" s="9" t="str">
        <f>IFERROR(IF(Master!N99="", "", Master!N99), "")</f>
        <v/>
      </c>
      <c r="P9" s="9" t="str">
        <f>IFERROR(IF(Master!O99="", "", Master!O99), "")</f>
        <v/>
      </c>
      <c r="Q9" s="9" t="str">
        <f>IFERROR(IF(Master!P99="", "", Master!P99), "")</f>
        <v/>
      </c>
      <c r="R9" s="9" t="str">
        <f>IFERROR(IF(Master!Q99="", "", Master!Q99), "")</f>
        <v/>
      </c>
      <c r="S9" s="9" t="str">
        <f>IFERROR(IF(Master!R99="", "", Master!R99), "")</f>
        <v/>
      </c>
      <c r="T9" s="9" t="str">
        <f>IFERROR(IF(Master!S99="", "", Master!S99), "")</f>
        <v/>
      </c>
      <c r="U9" s="9" t="str">
        <f>IFERROR(IF(Master!T99="", "", Master!T99), "")</f>
        <v/>
      </c>
      <c r="V9" s="9" t="str">
        <f>IFERROR(IF(Master!U99="", "", Master!U99), "")</f>
        <v/>
      </c>
      <c r="W9" s="9" t="str">
        <f>IFERROR(IF(Master!V99="", "", Master!V99), "")</f>
        <v/>
      </c>
      <c r="X9" s="9" t="str">
        <f>IFERROR(IF(Master!W99="", "", Master!W99), "")</f>
        <v/>
      </c>
      <c r="Y9" s="9" t="str">
        <f>IFERROR(IF(Master!X99="", "", Master!X99), "")</f>
        <v/>
      </c>
      <c r="Z9" s="9" t="str">
        <f>IFERROR(IF(Master!Y99="", "", Master!Y99), "")</f>
        <v/>
      </c>
      <c r="AA9" s="9" t="str">
        <f>IFERROR(IF(Master!Z99="", "", Master!Z99), "")</f>
        <v/>
      </c>
      <c r="AB9" s="9" t="str">
        <f>IFERROR(IF(Master!AA99="", "", Master!AA99), "")</f>
        <v/>
      </c>
      <c r="AC9" s="9" t="str">
        <f>IFERROR(IF(Master!AB99="", "", Master!AB99), "")</f>
        <v/>
      </c>
      <c r="AD9" s="9" t="str">
        <f>IFERROR(IF(Master!AC99="", "", Master!AC99), "")</f>
        <v/>
      </c>
      <c r="AE9" s="9" t="str">
        <f>IFERROR(IF(Master!AD99="", "", Master!AD99), "")</f>
        <v/>
      </c>
      <c r="AF9" s="49" t="str">
        <f>IFERROR(IF(Master!AE99="", "", Master!AE99), "")</f>
        <v/>
      </c>
      <c r="AG9" s="1"/>
    </row>
    <row r="10" spans="1:42">
      <c r="C10" s="9" t="str">
        <f>IFERROR(IF(Master!B100="", "", Master!B100), "")</f>
        <v/>
      </c>
      <c r="D10" s="9" t="str">
        <f>IFERROR(IF(Master!C100="", "", Master!C100), "")</f>
        <v/>
      </c>
      <c r="E10" s="9" t="str">
        <f>IFERROR(IF(Master!D100="", "", Master!D100), "")</f>
        <v/>
      </c>
      <c r="F10" s="9" t="str">
        <f>IFERROR(IF(Master!E100="", "", Master!E100), "")</f>
        <v/>
      </c>
      <c r="G10" s="9" t="str">
        <f>IFERROR(IF(Master!F100="", "", Master!F100), "")</f>
        <v/>
      </c>
      <c r="H10" s="9" t="str">
        <f>IFERROR(IF(Master!G100="", "", Master!G100), "")</f>
        <v/>
      </c>
      <c r="I10" s="9" t="str">
        <f>IFERROR(IF(Master!H100="", "", Master!H100), "")</f>
        <v/>
      </c>
      <c r="J10" s="9" t="str">
        <f>IFERROR(IF(Master!I100="", "", Master!I100), "")</f>
        <v/>
      </c>
      <c r="K10" s="9" t="str">
        <f>IFERROR(IF(Master!J100="", "", Master!J100), "")</f>
        <v/>
      </c>
      <c r="L10" s="9" t="str">
        <f>IFERROR(IF(Master!K100="", "", Master!K100), "")</f>
        <v/>
      </c>
      <c r="M10" s="9" t="str">
        <f>IFERROR(IF(Master!L100="", "", Master!L100), "")</f>
        <v/>
      </c>
      <c r="N10" s="9" t="str">
        <f>IFERROR(IF(Master!M100="", "", Master!M100), "")</f>
        <v/>
      </c>
      <c r="O10" s="9" t="str">
        <f>IFERROR(IF(Master!N100="", "", Master!N100), "")</f>
        <v/>
      </c>
      <c r="P10" s="9" t="str">
        <f>IFERROR(IF(Master!O100="", "", Master!O100), "")</f>
        <v/>
      </c>
      <c r="Q10" s="9" t="str">
        <f>IFERROR(IF(Master!P100="", "", Master!P100), "")</f>
        <v/>
      </c>
      <c r="R10" s="9" t="str">
        <f>IFERROR(IF(Master!Q100="", "", Master!Q100), "")</f>
        <v/>
      </c>
      <c r="S10" s="9" t="str">
        <f>IFERROR(IF(Master!R100="", "", Master!R100), "")</f>
        <v/>
      </c>
      <c r="T10" s="9" t="str">
        <f>IFERROR(IF(Master!S100="", "", Master!S100), "")</f>
        <v/>
      </c>
      <c r="U10" s="9" t="str">
        <f>IFERROR(IF(Master!T100="", "", Master!T100), "")</f>
        <v/>
      </c>
      <c r="V10" s="9" t="str">
        <f>IFERROR(IF(Master!U100="", "", Master!U100), "")</f>
        <v/>
      </c>
      <c r="W10" s="9" t="str">
        <f>IFERROR(IF(Master!V100="", "", Master!V100), "")</f>
        <v/>
      </c>
      <c r="X10" s="9" t="str">
        <f>IFERROR(IF(Master!W100="", "", Master!W100), "")</f>
        <v/>
      </c>
      <c r="Y10" s="9" t="str">
        <f>IFERROR(IF(Master!X100="", "", Master!X100), "")</f>
        <v/>
      </c>
      <c r="Z10" s="9" t="str">
        <f>IFERROR(IF(Master!Y100="", "", Master!Y100), "")</f>
        <v/>
      </c>
      <c r="AA10" s="9" t="str">
        <f>IFERROR(IF(Master!Z100="", "", Master!Z100), "")</f>
        <v/>
      </c>
      <c r="AB10" s="9" t="str">
        <f>IFERROR(IF(Master!AA100="", "", Master!AA100), "")</f>
        <v/>
      </c>
      <c r="AC10" s="9" t="str">
        <f>IFERROR(IF(Master!AB100="", "", Master!AB100), "")</f>
        <v/>
      </c>
      <c r="AD10" s="9" t="str">
        <f>IFERROR(IF(Master!AC100="", "", Master!AC100), "")</f>
        <v/>
      </c>
      <c r="AE10" s="9" t="str">
        <f>IFERROR(IF(Master!AD100="", "", Master!AD100), "")</f>
        <v/>
      </c>
      <c r="AF10" s="49" t="str">
        <f>IFERROR(IF(Master!AE100="", "", Master!AE100),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F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0</v>
      </c>
      <c r="H13" s="12">
        <f t="shared" si="1"/>
        <v>0</v>
      </c>
      <c r="I13" s="12">
        <f t="shared" si="1"/>
        <v>45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0</v>
      </c>
      <c r="O13" s="12">
        <f t="shared" si="1"/>
        <v>0</v>
      </c>
      <c r="P13" s="12">
        <f t="shared" si="1"/>
        <v>46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0</v>
      </c>
      <c r="V13" s="12">
        <f t="shared" si="1"/>
        <v>0</v>
      </c>
      <c r="W13" s="12">
        <f t="shared" si="1"/>
        <v>47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0</v>
      </c>
      <c r="AC13" s="12">
        <f t="shared" si="1"/>
        <v>0</v>
      </c>
      <c r="AD13" s="12">
        <f t="shared" si="1"/>
        <v>48</v>
      </c>
      <c r="AE13" s="12">
        <f t="shared" si="1"/>
        <v>0</v>
      </c>
      <c r="AF13" s="56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F16" si="2">C3</f>
        <v>46327</v>
      </c>
      <c r="D16" s="72">
        <f t="shared" si="2"/>
        <v>46328</v>
      </c>
      <c r="E16" s="72">
        <f t="shared" si="2"/>
        <v>46329</v>
      </c>
      <c r="F16" s="72">
        <f t="shared" si="2"/>
        <v>46330</v>
      </c>
      <c r="G16" s="72">
        <f t="shared" si="2"/>
        <v>46331</v>
      </c>
      <c r="H16" s="72">
        <f t="shared" si="2"/>
        <v>46332</v>
      </c>
      <c r="I16" s="72">
        <f t="shared" si="2"/>
        <v>46333</v>
      </c>
      <c r="J16" s="72">
        <f t="shared" si="2"/>
        <v>46334</v>
      </c>
      <c r="K16" s="72">
        <f t="shared" si="2"/>
        <v>46335</v>
      </c>
      <c r="L16" s="72">
        <f t="shared" si="2"/>
        <v>46336</v>
      </c>
      <c r="M16" s="72">
        <f t="shared" si="2"/>
        <v>46337</v>
      </c>
      <c r="N16" s="72">
        <f t="shared" si="2"/>
        <v>46338</v>
      </c>
      <c r="O16" s="72">
        <f t="shared" si="2"/>
        <v>46339</v>
      </c>
      <c r="P16" s="72">
        <f t="shared" si="2"/>
        <v>46340</v>
      </c>
      <c r="Q16" s="72">
        <f t="shared" si="2"/>
        <v>46341</v>
      </c>
      <c r="R16" s="72">
        <f t="shared" si="2"/>
        <v>46342</v>
      </c>
      <c r="S16" s="72">
        <f t="shared" si="2"/>
        <v>46343</v>
      </c>
      <c r="T16" s="72">
        <f t="shared" si="2"/>
        <v>46344</v>
      </c>
      <c r="U16" s="72">
        <f t="shared" si="2"/>
        <v>46345</v>
      </c>
      <c r="V16" s="72">
        <f t="shared" si="2"/>
        <v>46346</v>
      </c>
      <c r="W16" s="72">
        <f t="shared" si="2"/>
        <v>46347</v>
      </c>
      <c r="X16" s="72">
        <f t="shared" si="2"/>
        <v>46348</v>
      </c>
      <c r="Y16" s="72">
        <f t="shared" si="2"/>
        <v>46349</v>
      </c>
      <c r="Z16" s="72">
        <f t="shared" si="2"/>
        <v>46350</v>
      </c>
      <c r="AA16" s="72">
        <f t="shared" si="2"/>
        <v>46351</v>
      </c>
      <c r="AB16" s="72">
        <f t="shared" si="2"/>
        <v>46352</v>
      </c>
      <c r="AC16" s="72">
        <f t="shared" si="2"/>
        <v>46353</v>
      </c>
      <c r="AD16" s="72">
        <f t="shared" si="2"/>
        <v>46354</v>
      </c>
      <c r="AE16" s="72">
        <f t="shared" si="2"/>
        <v>46355</v>
      </c>
      <c r="AF16" s="72">
        <f t="shared" si="2"/>
        <v>46356</v>
      </c>
      <c r="AG16" s="52"/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Sun</v>
      </c>
      <c r="D17" s="39" t="str">
        <f t="shared" ref="D17:AF17" si="3">TEXT(D16,"ddd")</f>
        <v>Mon</v>
      </c>
      <c r="E17" s="39" t="str">
        <f t="shared" si="3"/>
        <v>Tue</v>
      </c>
      <c r="F17" s="39" t="str">
        <f t="shared" si="3"/>
        <v>Wed</v>
      </c>
      <c r="G17" s="39" t="str">
        <f t="shared" si="3"/>
        <v>Thu</v>
      </c>
      <c r="H17" s="39" t="str">
        <f t="shared" si="3"/>
        <v>Fri</v>
      </c>
      <c r="I17" s="39" t="str">
        <f t="shared" si="3"/>
        <v>Sat</v>
      </c>
      <c r="J17" s="39" t="str">
        <f t="shared" si="3"/>
        <v>Sun</v>
      </c>
      <c r="K17" s="39" t="str">
        <f t="shared" si="3"/>
        <v>Mon</v>
      </c>
      <c r="L17" s="39" t="str">
        <f t="shared" si="3"/>
        <v>Tue</v>
      </c>
      <c r="M17" s="39" t="str">
        <f t="shared" si="3"/>
        <v>Wed</v>
      </c>
      <c r="N17" s="39" t="str">
        <f t="shared" si="3"/>
        <v>Thu</v>
      </c>
      <c r="O17" s="39" t="str">
        <f t="shared" si="3"/>
        <v>Fri</v>
      </c>
      <c r="P17" s="39" t="str">
        <f t="shared" si="3"/>
        <v>Sat</v>
      </c>
      <c r="Q17" s="39" t="str">
        <f t="shared" si="3"/>
        <v>Sun</v>
      </c>
      <c r="R17" s="39" t="str">
        <f t="shared" si="3"/>
        <v>Mon</v>
      </c>
      <c r="S17" s="39" t="str">
        <f t="shared" si="3"/>
        <v>Tue</v>
      </c>
      <c r="T17" s="39" t="str">
        <f t="shared" si="3"/>
        <v>Wed</v>
      </c>
      <c r="U17" s="39" t="str">
        <f t="shared" si="3"/>
        <v>Thu</v>
      </c>
      <c r="V17" s="39" t="str">
        <f t="shared" si="3"/>
        <v>Fri</v>
      </c>
      <c r="W17" s="39" t="str">
        <f t="shared" si="3"/>
        <v>Sat</v>
      </c>
      <c r="X17" s="39" t="str">
        <f t="shared" si="3"/>
        <v>Sun</v>
      </c>
      <c r="Y17" s="39" t="str">
        <f t="shared" si="3"/>
        <v>Mon</v>
      </c>
      <c r="Z17" s="39" t="str">
        <f t="shared" si="3"/>
        <v>Tue</v>
      </c>
      <c r="AA17" s="39" t="str">
        <f t="shared" si="3"/>
        <v>Wed</v>
      </c>
      <c r="AB17" s="39" t="str">
        <f t="shared" si="3"/>
        <v>Thu</v>
      </c>
      <c r="AC17" s="39" t="str">
        <f t="shared" si="3"/>
        <v>Fri</v>
      </c>
      <c r="AD17" s="50" t="str">
        <f t="shared" si="3"/>
        <v>Sat</v>
      </c>
      <c r="AE17" s="38" t="str">
        <f t="shared" si="3"/>
        <v>Sun</v>
      </c>
      <c r="AF17" s="59" t="str">
        <f t="shared" si="3"/>
        <v>Mon</v>
      </c>
      <c r="AG17" s="25"/>
      <c r="AK17" s="85"/>
      <c r="AL17" s="85"/>
      <c r="AM17" s="85"/>
      <c r="AN17" s="83"/>
      <c r="AO17" s="83"/>
      <c r="AP17" s="83"/>
    </row>
    <row r="18" spans="1:42" ht="35.2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DO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HD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DO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HD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DO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HD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DO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D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D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HD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DO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53"/>
      <c r="AK18" s="11" t="s">
        <v>118</v>
      </c>
      <c r="AL18" s="65">
        <f>SUMPRODUCT((B18:AF18="D")*8) + SUMPRODUCT((B18:AF18="E")*8) + SUMPRODUCT((B18:AF18="HD")*4)</f>
        <v>184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184</v>
      </c>
      <c r="AO18" s="67">
        <f>AN18-$AN$18</f>
        <v>0</v>
      </c>
      <c r="AP18" s="67">
        <f>AO18+Oct!AP18</f>
        <v>0</v>
      </c>
    </row>
    <row r="19" spans="1:42" ht="35.2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DO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DO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DO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DO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DO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DO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D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D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DO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53"/>
      <c r="AK19" s="11" t="s">
        <v>21</v>
      </c>
      <c r="AL19" s="65">
        <f t="shared" ref="AL19:AL26" si="4">SUMPRODUCT((B19:AF19="D")*8) + SUMPRODUCT((B19:AF19="E")*8) + SUMPRODUCT((B19:AF19="HD")*4)</f>
        <v>184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184</v>
      </c>
      <c r="AO19" s="67">
        <f t="shared" ref="AO19:AO31" si="6">AN19-$AN$18</f>
        <v>0</v>
      </c>
      <c r="AP19" s="67">
        <f>AO19+Oct!AP19</f>
        <v>0</v>
      </c>
    </row>
    <row r="20" spans="1:42" ht="35.2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DO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HD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DO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HD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DO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HD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DO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D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D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HD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DO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53"/>
      <c r="AK20" s="11" t="s">
        <v>119</v>
      </c>
      <c r="AL20" s="65">
        <f t="shared" si="4"/>
        <v>184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184</v>
      </c>
      <c r="AO20" s="67">
        <f t="shared" si="6"/>
        <v>0</v>
      </c>
      <c r="AP20" s="67">
        <f>AO20+Oct!AP20</f>
        <v>0</v>
      </c>
    </row>
    <row r="21" spans="1:42" ht="35.2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DO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E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E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E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E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E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D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DO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D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D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D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DO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DO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E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E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E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E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E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D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DO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E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E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E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D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DO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D</v>
      </c>
      <c r="AG21" s="53"/>
      <c r="AK21" s="11" t="s">
        <v>24</v>
      </c>
      <c r="AL21" s="65">
        <f t="shared" si="4"/>
        <v>192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192</v>
      </c>
      <c r="AO21" s="67">
        <f t="shared" si="6"/>
        <v>8</v>
      </c>
      <c r="AP21" s="67">
        <f>AO21+Oct!AP21</f>
        <v>-4</v>
      </c>
    </row>
    <row r="22" spans="1:42" ht="35.2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DO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D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D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D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DO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DO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E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E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E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E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E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D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DO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D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D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D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DO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DO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E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E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E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E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E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D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DO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E</v>
      </c>
      <c r="AG22" s="53"/>
      <c r="AK22" s="11" t="s">
        <v>22</v>
      </c>
      <c r="AL22" s="65">
        <f t="shared" si="4"/>
        <v>184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184</v>
      </c>
      <c r="AO22" s="67">
        <f t="shared" si="6"/>
        <v>0</v>
      </c>
      <c r="AP22" s="67">
        <f>AO22+Oct!AP22</f>
        <v>4</v>
      </c>
    </row>
    <row r="23" spans="1:42" ht="35.2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DO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E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E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D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DO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D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D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D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DO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DO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E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E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E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E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E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D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DO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D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D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D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D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DO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DO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E</v>
      </c>
      <c r="AG23" s="53"/>
      <c r="AK23" s="11" t="s">
        <v>23</v>
      </c>
      <c r="AL23" s="65">
        <f t="shared" si="4"/>
        <v>184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0</v>
      </c>
      <c r="AN23" s="68">
        <f t="shared" si="5"/>
        <v>184</v>
      </c>
      <c r="AO23" s="67">
        <f t="shared" si="6"/>
        <v>0</v>
      </c>
      <c r="AP23" s="67">
        <f>AO23+Oct!AP23</f>
        <v>-4</v>
      </c>
    </row>
    <row r="24" spans="1:42" ht="35.2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DO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DO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DO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E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E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E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E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E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D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DO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D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D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D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DO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DO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E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E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E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E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E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D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DO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D</v>
      </c>
      <c r="AG24" s="53"/>
      <c r="AK24" s="11" t="s">
        <v>25</v>
      </c>
      <c r="AL24" s="65">
        <f t="shared" si="4"/>
        <v>184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184</v>
      </c>
      <c r="AO24" s="67">
        <f t="shared" si="6"/>
        <v>0</v>
      </c>
      <c r="AP24" s="67">
        <f>AO24+Oct!AP24</f>
        <v>4</v>
      </c>
    </row>
    <row r="25" spans="1:42" ht="35.2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DO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DO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DO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E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E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E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E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D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DO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D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D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D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DO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DO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D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D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D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D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DO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DO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D</v>
      </c>
      <c r="AG25" s="53"/>
      <c r="AK25" s="11" t="s">
        <v>27</v>
      </c>
      <c r="AL25" s="65">
        <f t="shared" si="4"/>
        <v>176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0</v>
      </c>
      <c r="AN25" s="68">
        <f t="shared" si="5"/>
        <v>176</v>
      </c>
      <c r="AO25" s="67">
        <f t="shared" si="6"/>
        <v>-8</v>
      </c>
      <c r="AP25" s="67">
        <f>AO25+Oct!AP25</f>
        <v>-4</v>
      </c>
    </row>
    <row r="26" spans="1:42" ht="35.2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DO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E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E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E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E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E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DO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D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DO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DO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E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E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E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E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E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D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DO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D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D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D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D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DO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DO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E</v>
      </c>
      <c r="AG26" s="53"/>
      <c r="AK26" s="11" t="s">
        <v>26</v>
      </c>
      <c r="AL26" s="65">
        <f t="shared" si="4"/>
        <v>184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184</v>
      </c>
      <c r="AO26" s="67">
        <f t="shared" si="6"/>
        <v>0</v>
      </c>
      <c r="AP26" s="67">
        <f>AO26+Oct!AP26</f>
        <v>4</v>
      </c>
    </row>
    <row r="27" spans="1:42" ht="35.2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DO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B6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B6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HD2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DO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B6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B6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DO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DO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B6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B6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HD2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DO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B6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B6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B6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DO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DO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53"/>
      <c r="AK27" s="11"/>
      <c r="AL27" s="65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AO27+Oct!AP27</f>
        <v>0</v>
      </c>
    </row>
    <row r="28" spans="1:42" ht="35.2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DO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D1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D1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DO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DO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D1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D1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HD2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DO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D1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D1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DO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DO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D1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D1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D1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HD2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DO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53"/>
      <c r="AK28" s="11"/>
      <c r="AL28" s="65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AO28+Oct!AP28</f>
        <v>0</v>
      </c>
    </row>
    <row r="29" spans="1:42" ht="35.2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53"/>
      <c r="AK29" s="11"/>
      <c r="AL29" s="65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AO29+Oct!AP29</f>
        <v>0</v>
      </c>
    </row>
    <row r="30" spans="1:42" ht="35.2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53"/>
      <c r="AK30" s="11"/>
      <c r="AL30" s="65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AO30+Oct!AP30</f>
        <v>0</v>
      </c>
    </row>
    <row r="31" spans="1:42" ht="35.2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DO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D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HD1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DO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D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HD1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DO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D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HD1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DO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D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D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HD1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DO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53"/>
      <c r="AK31" s="11" t="s">
        <v>136</v>
      </c>
      <c r="AL31" s="65">
        <f>SUMPRODUCT((B31:AF31="D")*8) + SUMPRODUCT((B31:AF31="E")*8) + SUMPRODUCT((B31:AF31="HD1")*4)</f>
        <v>184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184</v>
      </c>
      <c r="AO31" s="67">
        <f t="shared" si="6"/>
        <v>0</v>
      </c>
      <c r="AP31" s="67">
        <f>AO31+Oct!AP31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F3">
    <cfRule type="expression" dxfId="39" priority="36">
      <formula>B$85="sun"</formula>
    </cfRule>
  </conditionalFormatting>
  <conditionalFormatting sqref="C3:AF10">
    <cfRule type="expression" dxfId="36" priority="42">
      <formula>WEEKDAY(C3,2)=7</formula>
    </cfRule>
  </conditionalFormatting>
  <conditionalFormatting sqref="C4:AF10">
    <cfRule type="expression" dxfId="35" priority="39">
      <formula>C$4="Sun"</formula>
    </cfRule>
  </conditionalFormatting>
  <conditionalFormatting sqref="C5:AF10">
    <cfRule type="expression" dxfId="34" priority="38">
      <formula>B$85="sun"</formula>
    </cfRule>
  </conditionalFormatting>
  <conditionalFormatting sqref="C18:AF31">
    <cfRule type="expression" dxfId="32" priority="1">
      <formula>C18="HDAL"</formula>
    </cfRule>
  </conditionalFormatting>
  <conditionalFormatting sqref="C17:AG17">
    <cfRule type="expression" dxfId="30" priority="24">
      <formula>C$17="sun"</formula>
    </cfRule>
    <cfRule type="expression" dxfId="29" priority="25">
      <formula>C$17="sat"</formula>
    </cfRule>
  </conditionalFormatting>
  <conditionalFormatting sqref="C18:AG31">
    <cfRule type="expression" dxfId="28" priority="2">
      <formula>C18="PH"</formula>
    </cfRule>
    <cfRule type="expression" dxfId="27" priority="3">
      <formula>C18="AL"</formula>
    </cfRule>
    <cfRule type="expression" dxfId="25" priority="5">
      <formula>C18="DO"</formula>
    </cfRule>
  </conditionalFormatting>
  <conditionalFormatting sqref="AG9">
    <cfRule type="expression" dxfId="24" priority="18">
      <formula>AG$4="Sun"</formula>
    </cfRule>
    <cfRule type="expression" dxfId="21" priority="21">
      <formula>WEEKDAY(AG9,2)=7</formula>
    </cfRule>
  </conditionalFormatting>
  <conditionalFormatting sqref="AO18:AP31">
    <cfRule type="expression" dxfId="20" priority="6">
      <formula>AO18&gt;0</formula>
    </cfRule>
    <cfRule type="expression" dxfId="19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33640FCF-7D9D-4726-BF9A-C1DD6086C756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41" id="{9ED61288-C3E1-4B37-B129-45177A96CFCE}">
            <xm:f>COUNTIF(PH!$A:$A, C3)&gt;0</xm:f>
            <x14:dxf>
              <font>
                <color rgb="FFFF0000"/>
              </font>
            </x14:dxf>
          </x14:cfRule>
          <xm:sqref>C3:AF10</xm:sqref>
        </x14:conditionalFormatting>
        <x14:conditionalFormatting xmlns:xm="http://schemas.microsoft.com/office/excel/2006/main">
          <x14:cfRule type="expression" priority="13" id="{B5EA05E1-180A-4E0E-8712-C6B2EB540CA9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C16:AF16</xm:sqref>
        </x14:conditionalFormatting>
        <x14:conditionalFormatting xmlns:xm="http://schemas.microsoft.com/office/excel/2006/main">
          <x14:cfRule type="expression" priority="14" id="{59C30415-CC98-4622-822B-E28562903497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CA975DE4-E156-4D6C-9715-DF55FEFB5515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  <x14:conditionalFormatting xmlns:xm="http://schemas.microsoft.com/office/excel/2006/main">
          <x14:cfRule type="expression" priority="19" id="{C30C1CC8-B7D8-4AE4-8318-890F4A834088}">
            <xm:f>AND(COUNTIF(PH!$A:$A, AG9)&gt;0, WEEKDAY(AG9,2)=6)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0" id="{A9D9AD3F-DC65-4DF7-85BA-F60A1BC5CD95}">
            <xm:f>COUNTIF(PH!$A:$A, AG9)&gt;0</xm:f>
            <x14:dxf>
              <font>
                <color rgb="FFFF0000"/>
              </font>
            </x14:dxf>
          </x14:cfRule>
          <xm:sqref>AG9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88AB25-7FFF-4C30-9FE9-39183724EB2E}">
          <x14:formula1>
            <xm:f>'On call stat'!$T$3:$T$21</xm:f>
          </x14:formula1>
          <xm:sqref>C3:AF3 C5:AF10</xm:sqref>
        </x14:dataValidation>
        <x14:dataValidation type="list" allowBlank="1" showInputMessage="1" showErrorMessage="1" xr:uid="{AD069400-4BAA-4245-B94A-5F01BC764EA3}">
          <x14:formula1>
            <xm:f>'On call stat'!$T$3:$T$14</xm:f>
          </x14:formula1>
          <xm:sqref>AG9:AG10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062F-0868-4B3C-97A3-1948276F0E54}">
  <sheetPr codeName="Sheet13"/>
  <dimension ref="A1:AP48"/>
  <sheetViews>
    <sheetView topLeftCell="A9" zoomScale="55" zoomScaleNormal="55" workbookViewId="0">
      <selection activeCell="AE41" sqref="AE41"/>
    </sheetView>
  </sheetViews>
  <sheetFormatPr defaultRowHeight="15"/>
  <cols>
    <col min="2" max="2" width="31.42578125" customWidth="1"/>
    <col min="36" max="36" width="9.140625" style="42"/>
    <col min="40" max="40" width="12.7109375" customWidth="1"/>
    <col min="42" max="42" width="19.5703125" bestFit="1" customWidth="1"/>
  </cols>
  <sheetData>
    <row r="1" spans="1:42">
      <c r="A1" t="s">
        <v>19</v>
      </c>
      <c r="B1" s="18">
        <f>Master!B1</f>
        <v>2026</v>
      </c>
    </row>
    <row r="3" spans="1:42">
      <c r="C3" s="9">
        <f>IFERROR(IF(Master!B102="", "", Master!B102), "")</f>
        <v>46357</v>
      </c>
      <c r="D3" s="9">
        <f>IFERROR(IF(Master!C102="", "", Master!C102), "")</f>
        <v>46358</v>
      </c>
      <c r="E3" s="9">
        <f>IFERROR(IF(Master!D102="", "", Master!D102), "")</f>
        <v>46359</v>
      </c>
      <c r="F3" s="9">
        <f>IFERROR(IF(Master!E102="", "", Master!E102), "")</f>
        <v>46360</v>
      </c>
      <c r="G3" s="9">
        <f>IFERROR(IF(Master!F102="", "", Master!F102), "")</f>
        <v>46361</v>
      </c>
      <c r="H3" s="9">
        <f>IFERROR(IF(Master!G102="", "", Master!G102), "")</f>
        <v>46362</v>
      </c>
      <c r="I3" s="9">
        <f>IFERROR(IF(Master!H102="", "", Master!H102), "")</f>
        <v>46363</v>
      </c>
      <c r="J3" s="9">
        <f>IFERROR(IF(Master!I102="", "", Master!I102), "")</f>
        <v>46364</v>
      </c>
      <c r="K3" s="9">
        <f>IFERROR(IF(Master!J102="", "", Master!J102), "")</f>
        <v>46365</v>
      </c>
      <c r="L3" s="9">
        <f>IFERROR(IF(Master!K102="", "", Master!K102), "")</f>
        <v>46366</v>
      </c>
      <c r="M3" s="9">
        <f>IFERROR(IF(Master!L102="", "", Master!L102), "")</f>
        <v>46367</v>
      </c>
      <c r="N3" s="9">
        <f>IFERROR(IF(Master!M102="", "", Master!M102), "")</f>
        <v>46368</v>
      </c>
      <c r="O3" s="9">
        <f>IFERROR(IF(Master!N102="", "", Master!N102), "")</f>
        <v>46369</v>
      </c>
      <c r="P3" s="9">
        <f>IFERROR(IF(Master!O102="", "", Master!O102), "")</f>
        <v>46370</v>
      </c>
      <c r="Q3" s="9">
        <f>IFERROR(IF(Master!P102="", "", Master!P102), "")</f>
        <v>46371</v>
      </c>
      <c r="R3" s="9">
        <f>IFERROR(IF(Master!Q102="", "", Master!Q102), "")</f>
        <v>46372</v>
      </c>
      <c r="S3" s="9">
        <f>IFERROR(IF(Master!R102="", "", Master!R102), "")</f>
        <v>46373</v>
      </c>
      <c r="T3" s="9">
        <f>IFERROR(IF(Master!S102="", "", Master!S102), "")</f>
        <v>46374</v>
      </c>
      <c r="U3" s="9">
        <f>IFERROR(IF(Master!T102="", "", Master!T102), "")</f>
        <v>46375</v>
      </c>
      <c r="V3" s="9">
        <f>IFERROR(IF(Master!U102="", "", Master!U102), "")</f>
        <v>46376</v>
      </c>
      <c r="W3" s="9">
        <f>IFERROR(IF(Master!V102="", "", Master!V102), "")</f>
        <v>46377</v>
      </c>
      <c r="X3" s="9">
        <f>IFERROR(IF(Master!W102="", "", Master!W102), "")</f>
        <v>46378</v>
      </c>
      <c r="Y3" s="9">
        <f>IFERROR(IF(Master!X102="", "", Master!X102), "")</f>
        <v>46379</v>
      </c>
      <c r="Z3" s="9">
        <f>IFERROR(IF(Master!Y102="", "", Master!Y102), "")</f>
        <v>46380</v>
      </c>
      <c r="AA3" s="9">
        <f>IFERROR(IF(Master!Z102="", "", Master!Z102), "")</f>
        <v>46381</v>
      </c>
      <c r="AB3" s="9">
        <f>IFERROR(IF(Master!AA102="", "", Master!AA102), "")</f>
        <v>46382</v>
      </c>
      <c r="AC3" s="9">
        <f>IFERROR(IF(Master!AB102="", "", Master!AB102), "")</f>
        <v>46383</v>
      </c>
      <c r="AD3" s="9">
        <f>IFERROR(IF(Master!AC102="", "", Master!AC102), "")</f>
        <v>46384</v>
      </c>
      <c r="AE3" s="9">
        <f>IFERROR(IF(Master!AD102="", "", Master!AD102), "")</f>
        <v>46385</v>
      </c>
      <c r="AF3" s="9">
        <f>IFERROR(IF(Master!AE102="", "", Master!AE102), "")</f>
        <v>46386</v>
      </c>
      <c r="AG3" s="9">
        <f>IFERROR(IF(Master!AF102="", "", Master!AF102), "")</f>
        <v>46387</v>
      </c>
    </row>
    <row r="4" spans="1:42">
      <c r="C4" s="13" t="str">
        <f t="shared" ref="C4:AG4" si="0">TEXT(C3,"ddd")</f>
        <v>Tue</v>
      </c>
      <c r="D4" s="13" t="str">
        <f t="shared" si="0"/>
        <v>Wed</v>
      </c>
      <c r="E4" s="13" t="str">
        <f t="shared" si="0"/>
        <v>Thu</v>
      </c>
      <c r="F4" s="13" t="str">
        <f t="shared" si="0"/>
        <v>Fri</v>
      </c>
      <c r="G4" s="13" t="str">
        <f t="shared" si="0"/>
        <v>Sat</v>
      </c>
      <c r="H4" s="13" t="str">
        <f t="shared" si="0"/>
        <v>Sun</v>
      </c>
      <c r="I4" s="13" t="str">
        <f t="shared" si="0"/>
        <v>Mon</v>
      </c>
      <c r="J4" s="13" t="str">
        <f t="shared" si="0"/>
        <v>Tue</v>
      </c>
      <c r="K4" s="13" t="str">
        <f t="shared" si="0"/>
        <v>Wed</v>
      </c>
      <c r="L4" s="13" t="str">
        <f t="shared" si="0"/>
        <v>Thu</v>
      </c>
      <c r="M4" s="13" t="str">
        <f t="shared" si="0"/>
        <v>Fri</v>
      </c>
      <c r="N4" s="13" t="str">
        <f t="shared" si="0"/>
        <v>Sat</v>
      </c>
      <c r="O4" s="13" t="str">
        <f t="shared" si="0"/>
        <v>Sun</v>
      </c>
      <c r="P4" s="13" t="str">
        <f t="shared" si="0"/>
        <v>Mon</v>
      </c>
      <c r="Q4" s="13" t="str">
        <f t="shared" si="0"/>
        <v>Tue</v>
      </c>
      <c r="R4" s="13" t="str">
        <f t="shared" si="0"/>
        <v>Wed</v>
      </c>
      <c r="S4" s="13" t="str">
        <f t="shared" si="0"/>
        <v>Thu</v>
      </c>
      <c r="T4" s="13" t="str">
        <f t="shared" si="0"/>
        <v>Fri</v>
      </c>
      <c r="U4" s="13" t="str">
        <f t="shared" si="0"/>
        <v>Sat</v>
      </c>
      <c r="V4" s="13" t="str">
        <f t="shared" si="0"/>
        <v>Sun</v>
      </c>
      <c r="W4" s="13" t="str">
        <f t="shared" si="0"/>
        <v>Mon</v>
      </c>
      <c r="X4" s="13" t="str">
        <f t="shared" si="0"/>
        <v>Tue</v>
      </c>
      <c r="Y4" s="13" t="str">
        <f t="shared" si="0"/>
        <v>Wed</v>
      </c>
      <c r="Z4" s="13" t="str">
        <f t="shared" si="0"/>
        <v>Thu</v>
      </c>
      <c r="AA4" s="13" t="str">
        <f t="shared" si="0"/>
        <v>Fri</v>
      </c>
      <c r="AB4" s="13" t="str">
        <f t="shared" si="0"/>
        <v>Sat</v>
      </c>
      <c r="AC4" s="13" t="str">
        <f t="shared" si="0"/>
        <v>Sun</v>
      </c>
      <c r="AD4" s="13" t="str">
        <f t="shared" si="0"/>
        <v>Mon</v>
      </c>
      <c r="AE4" s="13" t="str">
        <f t="shared" si="0"/>
        <v>Tue</v>
      </c>
      <c r="AF4" s="13" t="str">
        <f t="shared" si="0"/>
        <v>Wed</v>
      </c>
      <c r="AG4" s="13" t="str">
        <f t="shared" si="0"/>
        <v>Thu</v>
      </c>
    </row>
    <row r="5" spans="1:42">
      <c r="C5" s="9" t="str">
        <f>IFERROR(IF(Master!B104="", "", Master!B104), "")</f>
        <v>Amy</v>
      </c>
      <c r="D5" s="9" t="str">
        <f>IFERROR(IF(Master!C104="", "", Master!C104), "")</f>
        <v>Amy</v>
      </c>
      <c r="E5" s="9" t="str">
        <f>IFERROR(IF(Master!D104="", "", Master!D104), "")</f>
        <v>Amy</v>
      </c>
      <c r="F5" s="9" t="str">
        <f>IFERROR(IF(Master!E104="", "", Master!E104), "")</f>
        <v>Amy</v>
      </c>
      <c r="G5" s="9" t="str">
        <f>IFERROR(IF(Master!F104="", "", Master!F104), "")</f>
        <v>Amy</v>
      </c>
      <c r="H5" s="9" t="str">
        <f>IFERROR(IF(Master!G104="", "", Master!G104), "")</f>
        <v>Amy</v>
      </c>
      <c r="I5" s="9" t="str">
        <f>IFERROR(IF(Master!H104="", "", Master!H104), "")</f>
        <v>Dicky</v>
      </c>
      <c r="J5" s="9" t="str">
        <f>IFERROR(IF(Master!I104="", "", Master!I104), "")</f>
        <v>Dicky</v>
      </c>
      <c r="K5" s="9" t="str">
        <f>IFERROR(IF(Master!J104="", "", Master!J104), "")</f>
        <v>Dicky</v>
      </c>
      <c r="L5" s="9" t="str">
        <f>IFERROR(IF(Master!K104="", "", Master!K104), "")</f>
        <v>Dicky</v>
      </c>
      <c r="M5" s="9" t="str">
        <f>IFERROR(IF(Master!L104="", "", Master!L104), "")</f>
        <v>Dicky</v>
      </c>
      <c r="N5" s="9" t="str">
        <f>IFERROR(IF(Master!M104="", "", Master!M104), "")</f>
        <v>Dicky</v>
      </c>
      <c r="O5" s="9" t="str">
        <f>IFERROR(IF(Master!N104="", "", Master!N104), "")</f>
        <v>Dicky</v>
      </c>
      <c r="P5" s="9" t="str">
        <f>IFERROR(IF(Master!O104="", "", Master!O104), "")</f>
        <v>Amy</v>
      </c>
      <c r="Q5" s="9" t="str">
        <f>IFERROR(IF(Master!P104="", "", Master!P104), "")</f>
        <v>Amy</v>
      </c>
      <c r="R5" s="9" t="str">
        <f>IFERROR(IF(Master!Q104="", "", Master!Q104), "")</f>
        <v>Amy</v>
      </c>
      <c r="S5" s="9" t="str">
        <f>IFERROR(IF(Master!R104="", "", Master!R104), "")</f>
        <v>Amy</v>
      </c>
      <c r="T5" s="9" t="str">
        <f>IFERROR(IF(Master!S104="", "", Master!S104), "")</f>
        <v>Amy</v>
      </c>
      <c r="U5" s="9" t="str">
        <f>IFERROR(IF(Master!T104="", "", Master!T104), "")</f>
        <v>Amy</v>
      </c>
      <c r="V5" s="9" t="str">
        <f>IFERROR(IF(Master!U104="", "", Master!U104), "")</f>
        <v>Amy</v>
      </c>
      <c r="W5" s="9" t="str">
        <f>IFERROR(IF(Master!V104="", "", Master!V104), "")</f>
        <v>Dicky</v>
      </c>
      <c r="X5" s="9" t="str">
        <f>IFERROR(IF(Master!W104="", "", Master!W104), "")</f>
        <v>Dicky</v>
      </c>
      <c r="Y5" s="9" t="str">
        <f>IFERROR(IF(Master!X104="", "", Master!X104), "")</f>
        <v>Dicky</v>
      </c>
      <c r="Z5" s="9" t="str">
        <f>IFERROR(IF(Master!Y104="", "", Master!Y104), "")</f>
        <v>Dicky</v>
      </c>
      <c r="AA5" s="9" t="str">
        <f>IFERROR(IF(Master!Z104="", "", Master!Z104), "")</f>
        <v>Dicky</v>
      </c>
      <c r="AB5" s="9" t="str">
        <f>IFERROR(IF(Master!AA104="", "", Master!AA104), "")</f>
        <v>Dicky</v>
      </c>
      <c r="AC5" s="9" t="str">
        <f>IFERROR(IF(Master!AB104="", "", Master!AB104), "")</f>
        <v>Dicky</v>
      </c>
      <c r="AD5" s="9" t="str">
        <f>IFERROR(IF(Master!AC104="", "", Master!AC104), "")</f>
        <v>Amy</v>
      </c>
      <c r="AE5" s="9" t="str">
        <f>IFERROR(IF(Master!AD104="", "", Master!AD104), "")</f>
        <v>Amy</v>
      </c>
      <c r="AF5" s="9" t="str">
        <f>IFERROR(IF(Master!AE104="", "", Master!AE104), "")</f>
        <v>Amy</v>
      </c>
      <c r="AG5" s="9" t="str">
        <f>IFERROR(IF(Master!AF104="", "", Master!AF104), "")</f>
        <v>Amy</v>
      </c>
    </row>
    <row r="6" spans="1:42">
      <c r="C6" s="9" t="str">
        <f>IFERROR(IF(Master!B105="", "", Master!B105), "")</f>
        <v>A Lam</v>
      </c>
      <c r="D6" s="9" t="str">
        <f>IFERROR(IF(Master!C105="", "", Master!C105), "")</f>
        <v>A Lam</v>
      </c>
      <c r="E6" s="9" t="str">
        <f>IFERROR(IF(Master!D105="", "", Master!D105), "")</f>
        <v>A Lam</v>
      </c>
      <c r="F6" s="9" t="str">
        <f>IFERROR(IF(Master!E105="", "", Master!E105), "")</f>
        <v>A Lam</v>
      </c>
      <c r="G6" s="9" t="str">
        <f>IFERROR(IF(Master!F105="", "", Master!F105), "")</f>
        <v>A Lam</v>
      </c>
      <c r="H6" s="9" t="str">
        <f>IFERROR(IF(Master!G105="", "", Master!G105), "")</f>
        <v>A Lam</v>
      </c>
      <c r="I6" s="9" t="str">
        <f>IFERROR(IF(Master!H105="", "", Master!H105), "")</f>
        <v>Melody</v>
      </c>
      <c r="J6" s="9" t="str">
        <f>IFERROR(IF(Master!I105="", "", Master!I105), "")</f>
        <v>Melody</v>
      </c>
      <c r="K6" s="9" t="str">
        <f>IFERROR(IF(Master!J105="", "", Master!J105), "")</f>
        <v>Melody</v>
      </c>
      <c r="L6" s="9" t="str">
        <f>IFERROR(IF(Master!K105="", "", Master!K105), "")</f>
        <v>Melody</v>
      </c>
      <c r="M6" s="9" t="str">
        <f>IFERROR(IF(Master!L105="", "", Master!L105), "")</f>
        <v>Melody</v>
      </c>
      <c r="N6" s="9" t="str">
        <f>IFERROR(IF(Master!M105="", "", Master!M105), "")</f>
        <v>Melody</v>
      </c>
      <c r="O6" s="9" t="str">
        <f>IFERROR(IF(Master!N105="", "", Master!N105), "")</f>
        <v>Melody</v>
      </c>
      <c r="P6" s="9" t="str">
        <f>IFERROR(IF(Master!O105="", "", Master!O105), "")</f>
        <v>Melody</v>
      </c>
      <c r="Q6" s="9" t="str">
        <f>IFERROR(IF(Master!P105="", "", Master!P105), "")</f>
        <v>Melody</v>
      </c>
      <c r="R6" s="9" t="str">
        <f>IFERROR(IF(Master!Q105="", "", Master!Q105), "")</f>
        <v>Melody</v>
      </c>
      <c r="S6" s="9" t="str">
        <f>IFERROR(IF(Master!R105="", "", Master!R105), "")</f>
        <v>Melody</v>
      </c>
      <c r="T6" s="9" t="str">
        <f>IFERROR(IF(Master!S105="", "", Master!S105), "")</f>
        <v>Melody</v>
      </c>
      <c r="U6" s="9" t="str">
        <f>IFERROR(IF(Master!T105="", "", Master!T105), "")</f>
        <v>Melody</v>
      </c>
      <c r="V6" s="9" t="str">
        <f>IFERROR(IF(Master!U105="", "", Master!U105), "")</f>
        <v>Melody</v>
      </c>
      <c r="W6" s="9" t="str">
        <f>IFERROR(IF(Master!V105="", "", Master!V105), "")</f>
        <v>A Lam</v>
      </c>
      <c r="X6" s="9" t="str">
        <f>IFERROR(IF(Master!W105="", "", Master!W105), "")</f>
        <v>A Lam</v>
      </c>
      <c r="Y6" s="9" t="str">
        <f>IFERROR(IF(Master!X105="", "", Master!X105), "")</f>
        <v>A Lam</v>
      </c>
      <c r="Z6" s="9" t="str">
        <f>IFERROR(IF(Master!Y105="", "", Master!Y105), "")</f>
        <v>A Lam</v>
      </c>
      <c r="AA6" s="9" t="str">
        <f>IFERROR(IF(Master!Z105="", "", Master!Z105), "")</f>
        <v>A Lam</v>
      </c>
      <c r="AB6" s="9" t="str">
        <f>IFERROR(IF(Master!AA105="", "", Master!AA105), "")</f>
        <v>A Lam</v>
      </c>
      <c r="AC6" s="9" t="str">
        <f>IFERROR(IF(Master!AB105="", "", Master!AB105), "")</f>
        <v>A Lam</v>
      </c>
      <c r="AD6" s="9" t="str">
        <f>IFERROR(IF(Master!AC105="", "", Master!AC105), "")</f>
        <v>Ka Po</v>
      </c>
      <c r="AE6" s="9" t="str">
        <f>IFERROR(IF(Master!AD105="", "", Master!AD105), "")</f>
        <v>Ka Po</v>
      </c>
      <c r="AF6" s="9" t="str">
        <f>IFERROR(IF(Master!AE105="", "", Master!AE105), "")</f>
        <v>Ka Po</v>
      </c>
      <c r="AG6" s="9" t="str">
        <f>IFERROR(IF(Master!AF105="", "", Master!AF105), "")</f>
        <v>Ka Po</v>
      </c>
    </row>
    <row r="7" spans="1:42">
      <c r="C7" s="9" t="str">
        <f>IFERROR(IF(Master!B106="", "", Master!B106), "")</f>
        <v>Katrina</v>
      </c>
      <c r="D7" s="9" t="str">
        <f>IFERROR(IF(Master!C106="", "", Master!C106), "")</f>
        <v>Katrina</v>
      </c>
      <c r="E7" s="9" t="str">
        <f>IFERROR(IF(Master!D106="", "", Master!D106), "")</f>
        <v>Katrina</v>
      </c>
      <c r="F7" s="9" t="str">
        <f>IFERROR(IF(Master!E106="", "", Master!E106), "")</f>
        <v>Katrina</v>
      </c>
      <c r="G7" s="9" t="str">
        <f>IFERROR(IF(Master!F106="", "", Master!F106), "")</f>
        <v>Katrina</v>
      </c>
      <c r="H7" s="9" t="str">
        <f>IFERROR(IF(Master!G106="", "", Master!G106), "")</f>
        <v>Katrina</v>
      </c>
      <c r="I7" s="9" t="str">
        <f>IFERROR(IF(Master!H106="", "", Master!H106), "")</f>
        <v>Ka Po</v>
      </c>
      <c r="J7" s="9" t="str">
        <f>IFERROR(IF(Master!I106="", "", Master!I106), "")</f>
        <v>Ka Po</v>
      </c>
      <c r="K7" s="9" t="str">
        <f>IFERROR(IF(Master!J106="", "", Master!J106), "")</f>
        <v>Ka Po</v>
      </c>
      <c r="L7" s="9" t="str">
        <f>IFERROR(IF(Master!K106="", "", Master!K106), "")</f>
        <v>Ka Po</v>
      </c>
      <c r="M7" s="9" t="str">
        <f>IFERROR(IF(Master!L106="", "", Master!L106), "")</f>
        <v>Ka Po</v>
      </c>
      <c r="N7" s="9" t="str">
        <f>IFERROR(IF(Master!M106="", "", Master!M106), "")</f>
        <v>Ka Po</v>
      </c>
      <c r="O7" s="9" t="str">
        <f>IFERROR(IF(Master!N106="", "", Master!N106), "")</f>
        <v>Ka Po</v>
      </c>
      <c r="P7" s="9" t="str">
        <f>IFERROR(IF(Master!O106="", "", Master!O106), "")</f>
        <v>Ka Po</v>
      </c>
      <c r="Q7" s="9" t="str">
        <f>IFERROR(IF(Master!P106="", "", Master!P106), "")</f>
        <v>Ka Po</v>
      </c>
      <c r="R7" s="9" t="str">
        <f>IFERROR(IF(Master!Q106="", "", Master!Q106), "")</f>
        <v>Ka Po</v>
      </c>
      <c r="S7" s="9" t="str">
        <f>IFERROR(IF(Master!R106="", "", Master!R106), "")</f>
        <v>Ka Po</v>
      </c>
      <c r="T7" s="9" t="str">
        <f>IFERROR(IF(Master!S106="", "", Master!S106), "")</f>
        <v>Ka Po</v>
      </c>
      <c r="U7" s="9" t="str">
        <f>IFERROR(IF(Master!T106="", "", Master!T106), "")</f>
        <v>Ka Po</v>
      </c>
      <c r="V7" s="9" t="str">
        <f>IFERROR(IF(Master!U106="", "", Master!U106), "")</f>
        <v>Ka Po</v>
      </c>
      <c r="W7" s="9" t="str">
        <f>IFERROR(IF(Master!V106="", "", Master!V106), "")</f>
        <v>Katrina</v>
      </c>
      <c r="X7" s="9" t="str">
        <f>IFERROR(IF(Master!W106="", "", Master!W106), "")</f>
        <v>Katrina</v>
      </c>
      <c r="Y7" s="9" t="str">
        <f>IFERROR(IF(Master!X106="", "", Master!X106), "")</f>
        <v>Katrina</v>
      </c>
      <c r="Z7" s="9" t="str">
        <f>IFERROR(IF(Master!Y106="", "", Master!Y106), "")</f>
        <v>Katrina</v>
      </c>
      <c r="AA7" s="9" t="str">
        <f>IFERROR(IF(Master!Z106="", "", Master!Z106), "")</f>
        <v>Katrina</v>
      </c>
      <c r="AB7" s="9" t="str">
        <f>IFERROR(IF(Master!AA106="", "", Master!AA106), "")</f>
        <v>Katrina</v>
      </c>
      <c r="AC7" s="9" t="str">
        <f>IFERROR(IF(Master!AB106="", "", Master!AB106), "")</f>
        <v>Katrina</v>
      </c>
      <c r="AD7" s="9" t="str">
        <f>IFERROR(IF(Master!AC106="", "", Master!AC106), "")</f>
        <v>Dicky</v>
      </c>
      <c r="AE7" s="9" t="str">
        <f>IFERROR(IF(Master!AD106="", "", Master!AD106), "")</f>
        <v>Dicky</v>
      </c>
      <c r="AF7" s="9" t="str">
        <f>IFERROR(IF(Master!AE106="", "", Master!AE106), "")</f>
        <v>Dicky</v>
      </c>
      <c r="AG7" s="9" t="str">
        <f>IFERROR(IF(Master!AF106="", "", Master!AF106), "")</f>
        <v>Dicky</v>
      </c>
    </row>
    <row r="8" spans="1:42">
      <c r="C8" s="9" t="str">
        <f>IFERROR(IF(Master!B107="", "", Master!B107), "")</f>
        <v/>
      </c>
      <c r="D8" s="9" t="str">
        <f>IFERROR(IF(Master!C107="", "", Master!C107), "")</f>
        <v/>
      </c>
      <c r="E8" s="9" t="str">
        <f>IFERROR(IF(Master!D107="", "", Master!D107), "")</f>
        <v/>
      </c>
      <c r="F8" s="9" t="str">
        <f>IFERROR(IF(Master!E107="", "", Master!E107), "")</f>
        <v/>
      </c>
      <c r="G8" s="9" t="str">
        <f>IFERROR(IF(Master!F107="", "", Master!F107), "")</f>
        <v/>
      </c>
      <c r="H8" s="9" t="str">
        <f>IFERROR(IF(Master!G107="", "", Master!G107), "")</f>
        <v/>
      </c>
      <c r="I8" s="9" t="str">
        <f>IFERROR(IF(Master!H107="", "", Master!H107), "")</f>
        <v/>
      </c>
      <c r="J8" s="9" t="str">
        <f>IFERROR(IF(Master!I107="", "", Master!I107), "")</f>
        <v/>
      </c>
      <c r="K8" s="9" t="str">
        <f>IFERROR(IF(Master!J107="", "", Master!J107), "")</f>
        <v/>
      </c>
      <c r="L8" s="9" t="str">
        <f>IFERROR(IF(Master!K107="", "", Master!K107), "")</f>
        <v/>
      </c>
      <c r="M8" s="9" t="str">
        <f>IFERROR(IF(Master!L107="", "", Master!L107), "")</f>
        <v/>
      </c>
      <c r="N8" s="9" t="str">
        <f>IFERROR(IF(Master!M107="", "", Master!M107), "")</f>
        <v/>
      </c>
      <c r="O8" s="9" t="str">
        <f>IFERROR(IF(Master!N107="", "", Master!N107), "")</f>
        <v/>
      </c>
      <c r="P8" s="9" t="str">
        <f>IFERROR(IF(Master!O107="", "", Master!O107), "")</f>
        <v/>
      </c>
      <c r="Q8" s="9" t="str">
        <f>IFERROR(IF(Master!P107="", "", Master!P107), "")</f>
        <v/>
      </c>
      <c r="R8" s="9" t="str">
        <f>IFERROR(IF(Master!Q107="", "", Master!Q107), "")</f>
        <v/>
      </c>
      <c r="S8" s="9" t="str">
        <f>IFERROR(IF(Master!R107="", "", Master!R107), "")</f>
        <v/>
      </c>
      <c r="T8" s="9" t="str">
        <f>IFERROR(IF(Master!S107="", "", Master!S107), "")</f>
        <v/>
      </c>
      <c r="U8" s="9" t="str">
        <f>IFERROR(IF(Master!T107="", "", Master!T107), "")</f>
        <v/>
      </c>
      <c r="V8" s="9" t="str">
        <f>IFERROR(IF(Master!U107="", "", Master!U107), "")</f>
        <v/>
      </c>
      <c r="W8" s="9" t="str">
        <f>IFERROR(IF(Master!V107="", "", Master!V107), "")</f>
        <v/>
      </c>
      <c r="X8" s="9" t="str">
        <f>IFERROR(IF(Master!W107="", "", Master!W107), "")</f>
        <v/>
      </c>
      <c r="Y8" s="9" t="str">
        <f>IFERROR(IF(Master!X107="", "", Master!X107), "")</f>
        <v/>
      </c>
      <c r="Z8" s="9" t="str">
        <f>IFERROR(IF(Master!Y107="", "", Master!Y107), "")</f>
        <v/>
      </c>
      <c r="AA8" s="9" t="str">
        <f>IFERROR(IF(Master!Z107="", "", Master!Z107), "")</f>
        <v/>
      </c>
      <c r="AB8" s="9" t="str">
        <f>IFERROR(IF(Master!AA107="", "", Master!AA107), "")</f>
        <v/>
      </c>
      <c r="AC8" s="9" t="str">
        <f>IFERROR(IF(Master!AB107="", "", Master!AB107), "")</f>
        <v/>
      </c>
      <c r="AD8" s="9" t="str">
        <f>IFERROR(IF(Master!AC107="", "", Master!AC107), "")</f>
        <v/>
      </c>
      <c r="AE8" s="9" t="str">
        <f>IFERROR(IF(Master!AD107="", "", Master!AD107), "")</f>
        <v/>
      </c>
      <c r="AF8" s="9" t="str">
        <f>IFERROR(IF(Master!AE107="", "", Master!AE107), "")</f>
        <v/>
      </c>
      <c r="AG8" s="9" t="str">
        <f>IFERROR(IF(Master!AF107="", "", Master!AF107), "")</f>
        <v/>
      </c>
    </row>
    <row r="9" spans="1:42">
      <c r="C9" s="9" t="str">
        <f>IFERROR(IF(Master!B108="", "", Master!B108), "")</f>
        <v/>
      </c>
      <c r="D9" s="9" t="str">
        <f>IFERROR(IF(Master!C108="", "", Master!C108), "")</f>
        <v/>
      </c>
      <c r="E9" s="9" t="str">
        <f>IFERROR(IF(Master!D108="", "", Master!D108), "")</f>
        <v/>
      </c>
      <c r="F9" s="9" t="str">
        <f>IFERROR(IF(Master!E108="", "", Master!E108), "")</f>
        <v/>
      </c>
      <c r="G9" s="9" t="str">
        <f>IFERROR(IF(Master!F108="", "", Master!F108), "")</f>
        <v/>
      </c>
      <c r="H9" s="9" t="str">
        <f>IFERROR(IF(Master!G108="", "", Master!G108), "")</f>
        <v/>
      </c>
      <c r="I9" s="9" t="str">
        <f>IFERROR(IF(Master!H108="", "", Master!H108), "")</f>
        <v>A Lam</v>
      </c>
      <c r="J9" s="9" t="str">
        <f>IFERROR(IF(Master!I108="", "", Master!I108), "")</f>
        <v>A Lam</v>
      </c>
      <c r="K9" s="9" t="str">
        <f>IFERROR(IF(Master!J108="", "", Master!J108), "")</f>
        <v>A Lam</v>
      </c>
      <c r="L9" s="9" t="str">
        <f>IFERROR(IF(Master!K108="", "", Master!K108), "")</f>
        <v>A Lam</v>
      </c>
      <c r="M9" s="9" t="str">
        <f>IFERROR(IF(Master!L108="", "", Master!L108), "")</f>
        <v>A Lam</v>
      </c>
      <c r="N9" s="9" t="str">
        <f>IFERROR(IF(Master!M108="", "", Master!M108), "")</f>
        <v>A Lam</v>
      </c>
      <c r="O9" s="9" t="str">
        <f>IFERROR(IF(Master!N108="", "", Master!N108), "")</f>
        <v>A Lam</v>
      </c>
      <c r="P9" s="9" t="str">
        <f>IFERROR(IF(Master!O108="", "", Master!O108), "")</f>
        <v>A Lam</v>
      </c>
      <c r="Q9" s="9" t="str">
        <f>IFERROR(IF(Master!P108="", "", Master!P108), "")</f>
        <v>A Lam</v>
      </c>
      <c r="R9" s="9" t="str">
        <f>IFERROR(IF(Master!Q108="", "", Master!Q108), "")</f>
        <v>A Lam</v>
      </c>
      <c r="S9" s="9" t="str">
        <f>IFERROR(IF(Master!R108="", "", Master!R108), "")</f>
        <v>A Lam</v>
      </c>
      <c r="T9" s="9" t="str">
        <f>IFERROR(IF(Master!S108="", "", Master!S108), "")</f>
        <v>A Lam</v>
      </c>
      <c r="U9" s="9" t="str">
        <f>IFERROR(IF(Master!T108="", "", Master!T108), "")</f>
        <v>A Lam</v>
      </c>
      <c r="V9" s="9" t="str">
        <f>IFERROR(IF(Master!U108="", "", Master!U108), "")</f>
        <v>A Lam</v>
      </c>
      <c r="W9" s="9" t="str">
        <f>IFERROR(IF(Master!V108="", "", Master!V108), "")</f>
        <v>Melody</v>
      </c>
      <c r="X9" s="9" t="str">
        <f>IFERROR(IF(Master!W108="", "", Master!W108), "")</f>
        <v>Melody</v>
      </c>
      <c r="Y9" s="9" t="str">
        <f>IFERROR(IF(Master!X108="", "", Master!X108), "")</f>
        <v>Melody</v>
      </c>
      <c r="Z9" s="9" t="str">
        <f>IFERROR(IF(Master!Y108="", "", Master!Y108), "")</f>
        <v>Melody</v>
      </c>
      <c r="AA9" s="9" t="str">
        <f>IFERROR(IF(Master!Z108="", "", Master!Z108), "")</f>
        <v>Melody</v>
      </c>
      <c r="AB9" s="9" t="str">
        <f>IFERROR(IF(Master!AA108="", "", Master!AA108), "")</f>
        <v>Melody</v>
      </c>
      <c r="AC9" s="9" t="str">
        <f>IFERROR(IF(Master!AB108="", "", Master!AB108), "")</f>
        <v>Melody</v>
      </c>
      <c r="AD9" s="9" t="str">
        <f>IFERROR(IF(Master!AC108="", "", Master!AC108), "")</f>
        <v>Melody</v>
      </c>
      <c r="AE9" s="9" t="str">
        <f>IFERROR(IF(Master!AD108="", "", Master!AD108), "")</f>
        <v>Melody</v>
      </c>
      <c r="AF9" s="9" t="str">
        <f>IFERROR(IF(Master!AE108="", "", Master!AE108), "")</f>
        <v>Melody</v>
      </c>
      <c r="AG9" s="9" t="str">
        <f>IFERROR(IF(Master!AF108="", "", Master!AF108), "")</f>
        <v>Melody</v>
      </c>
    </row>
    <row r="10" spans="1:42">
      <c r="C10" s="9" t="str">
        <f>IFERROR(IF(Master!B109="", "", Master!B109), "")</f>
        <v/>
      </c>
      <c r="D10" s="9" t="str">
        <f>IFERROR(IF(Master!C109="", "", Master!C109), "")</f>
        <v/>
      </c>
      <c r="E10" s="9" t="str">
        <f>IFERROR(IF(Master!D109="", "", Master!D109), "")</f>
        <v/>
      </c>
      <c r="F10" s="9" t="str">
        <f>IFERROR(IF(Master!E109="", "", Master!E109), "")</f>
        <v/>
      </c>
      <c r="G10" s="9" t="str">
        <f>IFERROR(IF(Master!F109="", "", Master!F109), "")</f>
        <v/>
      </c>
      <c r="H10" s="9" t="str">
        <f>IFERROR(IF(Master!G109="", "", Master!G109), "")</f>
        <v/>
      </c>
      <c r="I10" s="9" t="str">
        <f>IFERROR(IF(Master!H109="", "", Master!H109), "")</f>
        <v/>
      </c>
      <c r="J10" s="9" t="str">
        <f>IFERROR(IF(Master!I109="", "", Master!I109), "")</f>
        <v/>
      </c>
      <c r="K10" s="9" t="str">
        <f>IFERROR(IF(Master!J109="", "", Master!J109), "")</f>
        <v/>
      </c>
      <c r="L10" s="9" t="str">
        <f>IFERROR(IF(Master!K109="", "", Master!K109), "")</f>
        <v/>
      </c>
      <c r="M10" s="9" t="str">
        <f>IFERROR(IF(Master!L109="", "", Master!L109), "")</f>
        <v/>
      </c>
      <c r="N10" s="9" t="str">
        <f>IFERROR(IF(Master!M109="", "", Master!M109), "")</f>
        <v/>
      </c>
      <c r="O10" s="9" t="str">
        <f>IFERROR(IF(Master!N109="", "", Master!N109), "")</f>
        <v/>
      </c>
      <c r="P10" s="9" t="str">
        <f>IFERROR(IF(Master!O109="", "", Master!O109), "")</f>
        <v/>
      </c>
      <c r="Q10" s="9" t="str">
        <f>IFERROR(IF(Master!P109="", "", Master!P109), "")</f>
        <v/>
      </c>
      <c r="R10" s="9" t="str">
        <f>IFERROR(IF(Master!Q109="", "", Master!Q109), "")</f>
        <v/>
      </c>
      <c r="S10" s="9" t="str">
        <f>IFERROR(IF(Master!R109="", "", Master!R109), "")</f>
        <v/>
      </c>
      <c r="T10" s="9" t="str">
        <f>IFERROR(IF(Master!S109="", "", Master!S109), "")</f>
        <v/>
      </c>
      <c r="U10" s="9" t="str">
        <f>IFERROR(IF(Master!T109="", "", Master!T109), "")</f>
        <v/>
      </c>
      <c r="V10" s="9" t="str">
        <f>IFERROR(IF(Master!U109="", "", Master!U109), "")</f>
        <v/>
      </c>
      <c r="W10" s="9" t="str">
        <f>IFERROR(IF(Master!V109="", "", Master!V109), "")</f>
        <v/>
      </c>
      <c r="X10" s="9" t="str">
        <f>IFERROR(IF(Master!W109="", "", Master!W109), "")</f>
        <v/>
      </c>
      <c r="Y10" s="9" t="str">
        <f>IFERROR(IF(Master!X109="", "", Master!X109), "")</f>
        <v/>
      </c>
      <c r="Z10" s="9" t="str">
        <f>IFERROR(IF(Master!Y109="", "", Master!Y109), "")</f>
        <v/>
      </c>
      <c r="AA10" s="9" t="str">
        <f>IFERROR(IF(Master!Z109="", "", Master!Z109), "")</f>
        <v/>
      </c>
      <c r="AB10" s="9" t="str">
        <f>IFERROR(IF(Master!AA109="", "", Master!AA109), "")</f>
        <v/>
      </c>
      <c r="AC10" s="9" t="str">
        <f>IFERROR(IF(Master!AB109="", "", Master!AB109), "")</f>
        <v/>
      </c>
      <c r="AD10" s="9" t="str">
        <f>IFERROR(IF(Master!AC109="", "", Master!AC109), "")</f>
        <v/>
      </c>
      <c r="AE10" s="9" t="str">
        <f>IFERROR(IF(Master!AD109="", "", Master!AD109), "")</f>
        <v/>
      </c>
      <c r="AF10" s="9" t="str">
        <f>IFERROR(IF(Master!AE109="", "", Master!AE109), "")</f>
        <v/>
      </c>
      <c r="AG10" s="9" t="str">
        <f>IFERROR(IF(Master!AF109="", "", Master!AF109), "")</f>
        <v/>
      </c>
    </row>
    <row r="13" spans="1:42" ht="15.75" hidden="1" thickBot="1">
      <c r="A13" s="46" t="s">
        <v>123</v>
      </c>
      <c r="B13" s="47"/>
      <c r="C13" s="12">
        <f>IF(WEEKDAY(C$16,2)=6, INT((C$16-DATE(2026,1,1))/7)+1, 0)</f>
        <v>0</v>
      </c>
      <c r="D13" s="12">
        <f t="shared" ref="D13:AG13" si="1">IF(WEEKDAY(D$16,2)=6, INT((D$16-DATE(2026,1,1))/7)+1, 0)</f>
        <v>0</v>
      </c>
      <c r="E13" s="12">
        <f t="shared" si="1"/>
        <v>0</v>
      </c>
      <c r="F13" s="12">
        <f t="shared" si="1"/>
        <v>0</v>
      </c>
      <c r="G13" s="12">
        <f t="shared" si="1"/>
        <v>49</v>
      </c>
      <c r="H13" s="12">
        <f t="shared" si="1"/>
        <v>0</v>
      </c>
      <c r="I13" s="12">
        <f t="shared" si="1"/>
        <v>0</v>
      </c>
      <c r="J13" s="12">
        <f t="shared" si="1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1"/>
        <v>50</v>
      </c>
      <c r="O13" s="12">
        <f t="shared" si="1"/>
        <v>0</v>
      </c>
      <c r="P13" s="12">
        <f t="shared" si="1"/>
        <v>0</v>
      </c>
      <c r="Q13" s="12">
        <f t="shared" si="1"/>
        <v>0</v>
      </c>
      <c r="R13" s="12">
        <f t="shared" si="1"/>
        <v>0</v>
      </c>
      <c r="S13" s="12">
        <f t="shared" si="1"/>
        <v>0</v>
      </c>
      <c r="T13" s="12">
        <f t="shared" si="1"/>
        <v>0</v>
      </c>
      <c r="U13" s="12">
        <f t="shared" si="1"/>
        <v>51</v>
      </c>
      <c r="V13" s="12">
        <f t="shared" si="1"/>
        <v>0</v>
      </c>
      <c r="W13" s="12">
        <f t="shared" si="1"/>
        <v>0</v>
      </c>
      <c r="X13" s="12">
        <f t="shared" si="1"/>
        <v>0</v>
      </c>
      <c r="Y13" s="12">
        <f t="shared" si="1"/>
        <v>0</v>
      </c>
      <c r="Z13" s="12">
        <f t="shared" si="1"/>
        <v>0</v>
      </c>
      <c r="AA13" s="12">
        <f t="shared" si="1"/>
        <v>0</v>
      </c>
      <c r="AB13" s="12">
        <f t="shared" si="1"/>
        <v>52</v>
      </c>
      <c r="AC13" s="12">
        <f t="shared" si="1"/>
        <v>0</v>
      </c>
      <c r="AD13" s="12">
        <f t="shared" si="1"/>
        <v>0</v>
      </c>
      <c r="AE13" s="12">
        <f t="shared" si="1"/>
        <v>0</v>
      </c>
      <c r="AF13" s="12">
        <f t="shared" si="1"/>
        <v>0</v>
      </c>
      <c r="AG13" s="12">
        <f t="shared" si="1"/>
        <v>0</v>
      </c>
      <c r="AH13" s="41"/>
    </row>
    <row r="14" spans="1:42">
      <c r="A14" s="45"/>
      <c r="B14" s="45"/>
    </row>
    <row r="15" spans="1:42" ht="15.75" thickBot="1"/>
    <row r="16" spans="1:42" ht="15.75" customHeight="1" thickBot="1">
      <c r="A16" s="19"/>
      <c r="B16" s="81">
        <f>B1</f>
        <v>2026</v>
      </c>
      <c r="C16" s="72">
        <f t="shared" ref="C16:AG16" si="2">C3</f>
        <v>46357</v>
      </c>
      <c r="D16" s="72">
        <f t="shared" si="2"/>
        <v>46358</v>
      </c>
      <c r="E16" s="72">
        <f t="shared" si="2"/>
        <v>46359</v>
      </c>
      <c r="F16" s="72">
        <f t="shared" si="2"/>
        <v>46360</v>
      </c>
      <c r="G16" s="72">
        <f t="shared" si="2"/>
        <v>46361</v>
      </c>
      <c r="H16" s="72">
        <f t="shared" si="2"/>
        <v>46362</v>
      </c>
      <c r="I16" s="72">
        <f t="shared" si="2"/>
        <v>46363</v>
      </c>
      <c r="J16" s="72">
        <f t="shared" si="2"/>
        <v>46364</v>
      </c>
      <c r="K16" s="72">
        <f t="shared" si="2"/>
        <v>46365</v>
      </c>
      <c r="L16" s="72">
        <f t="shared" si="2"/>
        <v>46366</v>
      </c>
      <c r="M16" s="72">
        <f t="shared" si="2"/>
        <v>46367</v>
      </c>
      <c r="N16" s="72">
        <f t="shared" si="2"/>
        <v>46368</v>
      </c>
      <c r="O16" s="72">
        <f t="shared" si="2"/>
        <v>46369</v>
      </c>
      <c r="P16" s="72">
        <f t="shared" si="2"/>
        <v>46370</v>
      </c>
      <c r="Q16" s="72">
        <f t="shared" si="2"/>
        <v>46371</v>
      </c>
      <c r="R16" s="72">
        <f t="shared" si="2"/>
        <v>46372</v>
      </c>
      <c r="S16" s="72">
        <f t="shared" si="2"/>
        <v>46373</v>
      </c>
      <c r="T16" s="72">
        <f t="shared" si="2"/>
        <v>46374</v>
      </c>
      <c r="U16" s="72">
        <f t="shared" si="2"/>
        <v>46375</v>
      </c>
      <c r="V16" s="72">
        <f t="shared" si="2"/>
        <v>46376</v>
      </c>
      <c r="W16" s="72">
        <f t="shared" si="2"/>
        <v>46377</v>
      </c>
      <c r="X16" s="72">
        <f t="shared" si="2"/>
        <v>46378</v>
      </c>
      <c r="Y16" s="72">
        <f t="shared" si="2"/>
        <v>46379</v>
      </c>
      <c r="Z16" s="72">
        <f t="shared" si="2"/>
        <v>46380</v>
      </c>
      <c r="AA16" s="72">
        <f t="shared" si="2"/>
        <v>46381</v>
      </c>
      <c r="AB16" s="72">
        <f t="shared" si="2"/>
        <v>46382</v>
      </c>
      <c r="AC16" s="72">
        <f t="shared" si="2"/>
        <v>46383</v>
      </c>
      <c r="AD16" s="72">
        <f t="shared" si="2"/>
        <v>46384</v>
      </c>
      <c r="AE16" s="72">
        <f t="shared" si="2"/>
        <v>46385</v>
      </c>
      <c r="AF16" s="72">
        <f t="shared" si="2"/>
        <v>46386</v>
      </c>
      <c r="AG16" s="72">
        <f t="shared" si="2"/>
        <v>46387</v>
      </c>
      <c r="AK16" s="84" t="str">
        <f>Jan!AK16</f>
        <v>Name</v>
      </c>
      <c r="AL16" s="84" t="str">
        <f>Jan!AL16</f>
        <v>Work</v>
      </c>
      <c r="AM16" s="84" t="str">
        <f>Jan!AM16</f>
        <v>AL</v>
      </c>
      <c r="AN16" s="82" t="str">
        <f>Jan!AN16</f>
        <v>Total working hours</v>
      </c>
      <c r="AO16" s="82" t="str">
        <f>Jan!AO16</f>
        <v xml:space="preserve">Monthly Balance </v>
      </c>
      <c r="AP16" s="82" t="s">
        <v>148</v>
      </c>
    </row>
    <row r="17" spans="1:42" ht="15.75" customHeight="1" thickBot="1">
      <c r="A17" s="20" t="s">
        <v>49</v>
      </c>
      <c r="B17" s="37" t="s">
        <v>50</v>
      </c>
      <c r="C17" s="38" t="str">
        <f>TEXT(C16,"ddd")</f>
        <v>Tue</v>
      </c>
      <c r="D17" s="39" t="str">
        <f t="shared" ref="D17:AG17" si="3">TEXT(D16,"ddd")</f>
        <v>Wed</v>
      </c>
      <c r="E17" s="39" t="str">
        <f t="shared" si="3"/>
        <v>Thu</v>
      </c>
      <c r="F17" s="39" t="str">
        <f t="shared" si="3"/>
        <v>Fri</v>
      </c>
      <c r="G17" s="39" t="str">
        <f t="shared" si="3"/>
        <v>Sat</v>
      </c>
      <c r="H17" s="39" t="str">
        <f t="shared" si="3"/>
        <v>Sun</v>
      </c>
      <c r="I17" s="39" t="str">
        <f t="shared" si="3"/>
        <v>Mon</v>
      </c>
      <c r="J17" s="39" t="str">
        <f t="shared" si="3"/>
        <v>Tue</v>
      </c>
      <c r="K17" s="39" t="str">
        <f t="shared" si="3"/>
        <v>Wed</v>
      </c>
      <c r="L17" s="39" t="str">
        <f t="shared" si="3"/>
        <v>Thu</v>
      </c>
      <c r="M17" s="39" t="str">
        <f t="shared" si="3"/>
        <v>Fri</v>
      </c>
      <c r="N17" s="39" t="str">
        <f t="shared" si="3"/>
        <v>Sat</v>
      </c>
      <c r="O17" s="39" t="str">
        <f t="shared" si="3"/>
        <v>Sun</v>
      </c>
      <c r="P17" s="39" t="str">
        <f t="shared" si="3"/>
        <v>Mon</v>
      </c>
      <c r="Q17" s="39" t="str">
        <f t="shared" si="3"/>
        <v>Tue</v>
      </c>
      <c r="R17" s="39" t="str">
        <f t="shared" si="3"/>
        <v>Wed</v>
      </c>
      <c r="S17" s="39" t="str">
        <f t="shared" si="3"/>
        <v>Thu</v>
      </c>
      <c r="T17" s="39" t="str">
        <f t="shared" si="3"/>
        <v>Fri</v>
      </c>
      <c r="U17" s="39" t="str">
        <f t="shared" si="3"/>
        <v>Sat</v>
      </c>
      <c r="V17" s="39" t="str">
        <f t="shared" si="3"/>
        <v>Sun</v>
      </c>
      <c r="W17" s="39" t="str">
        <f t="shared" si="3"/>
        <v>Mon</v>
      </c>
      <c r="X17" s="39" t="str">
        <f t="shared" si="3"/>
        <v>Tue</v>
      </c>
      <c r="Y17" s="39" t="str">
        <f t="shared" si="3"/>
        <v>Wed</v>
      </c>
      <c r="Z17" s="39" t="str">
        <f t="shared" si="3"/>
        <v>Thu</v>
      </c>
      <c r="AA17" s="39" t="str">
        <f t="shared" si="3"/>
        <v>Fri</v>
      </c>
      <c r="AB17" s="39" t="str">
        <f t="shared" si="3"/>
        <v>Sat</v>
      </c>
      <c r="AC17" s="39" t="str">
        <f t="shared" si="3"/>
        <v>Sun</v>
      </c>
      <c r="AD17" s="39" t="str">
        <f t="shared" si="3"/>
        <v>Mon</v>
      </c>
      <c r="AE17" s="39" t="str">
        <f t="shared" si="3"/>
        <v>Tue</v>
      </c>
      <c r="AF17" s="39" t="str">
        <f t="shared" si="3"/>
        <v>Wed</v>
      </c>
      <c r="AG17" s="39" t="str">
        <f t="shared" si="3"/>
        <v>Thu</v>
      </c>
      <c r="AK17" s="85"/>
      <c r="AL17" s="85"/>
      <c r="AM17" s="85"/>
      <c r="AN17" s="83"/>
      <c r="AO17" s="83"/>
      <c r="AP17" s="83"/>
    </row>
    <row r="18" spans="1:42" ht="37.5" customHeight="1" thickBot="1">
      <c r="A18" s="21" t="s">
        <v>51</v>
      </c>
      <c r="B18" s="22" t="s">
        <v>52</v>
      </c>
      <c r="C18" s="40" t="str">
        <f>IF(COUNTIF(PH!$A:$A,C$16)&gt;0,"PH",
IF(AND(SUMPRODUCT(($B$9:$AG$10=IFERROR(VLOOKUP($B18,'On call stat'!$S$3:$T$20,2,FALSE),""))*($B$3:$AG$3=C$16))&gt;0,OR(WEEKDAY(C$16,2)=6,),OR($B18="Chan, Man Wai",$B18="Ng Suet Ping, Yoko",$B18="Li Mui Ying",$B18="Lee Ka Po, Kathy",$B18="Huang Huanrao, Yoyo")),"HDAL",
IF(OR(WEEKDAY(C$16,2)=7,AND(WEEKDAY(C$16,2)=6,SUMPRODUCT(($B$9:$AG$10=IFERROR(VLOOKUP($B18,'On call stat'!$S$3:$T$20,2,FALSE),""))*($B$3:$AG$3=C$16))&gt;0)),"DO",
IF(SUMPRODUCT(($B$9:$AG$10=IFERROR(VLOOKUP($B18,'On call stat'!$S$3:$T$20,2,FALSE),""))*($B$3:$AG$3=C$16))&gt;0,"AL",
IF(WEEKDAY(C$16,2)=6,
IF($B18="Chan, Man Wai","HD",
IF($B18="Ng Suet Ping, Yoko","HD",
IF($B18="Li Mui Ying","HD1",
IF($B18="Huang Huanrao, Yoyo",IF(MOD(C$13,2)=1,"HD2",IFERROR(IF(SUMPRODUCT(($B$3:$AG$3=C$16)*($B$5:$AG$7=VLOOKUP($B18,'On call stat'!$S$3:$T$10,2,FALSE)))&gt;0,"D","DO"),"DO")),
IF($B18="Lee Ka Po, Kathy",IF(MOD(C$13,2)=0,"HD2",IFERROR(IF(SUMPRODUCT(($B$3:$AG$3=C$16)*($B$5:$AG$7=VLOOKUP($B18,'On call stat'!$S$3:$T$10,2,FALSE)))&gt;0,"D","DO"),"DO")),
IF($B18="Fan Hoi Wan, Ivy",IF(MOD(C$13,2)=0,"D",IFERROR(IF(SUMPRODUCT(($B$3:$AG$3=C$16)*($B$5:$AG$7=VLOOKUP($B18,'On call stat'!$S$3:$T$10,2,FALSE)))&gt;0,"D","DO"),"DO")),
IFERROR(IF(SUMPRODUCT(($B$3:$AG$3=C$16)*($B$5:$AG$7=VLOOKUP($B18,'On call stat'!$S$3:$T$10,2,FALSE)))&gt;0,"D","DO"),"DO"))))))),
IF($B18="Huang Huanrao, Yoyo",IF(MOD(C$13,2)=1,"D1","B6"),
IF($B18="Lee Ka Po, Kathy",IF(MOD(C$13,2)=0,"D1","B6"),
IFERROR(IF(SUMPRODUCT(($B$3:$AG$3=C$16)*($B$5:$AG$7=VLOOKUP($B18,'On call stat'!$S$3:$T$10,2,FALSE)))&gt;0,"E","D"),"D"))))))))</f>
        <v>D</v>
      </c>
      <c r="D18" s="40" t="str">
        <f>IF(COUNTIF(PH!$A:$A,D$16)&gt;0,"PH",
IF(AND(SUMPRODUCT(($B$9:$AG$10=IFERROR(VLOOKUP($B18,'On call stat'!$S$3:$T$20,2,FALSE),""))*($B$3:$AG$3=D$16))&gt;0,OR(WEEKDAY(D$16,2)=6,),OR($B18="Chan, Man Wai",$B18="Ng Suet Ping, Yoko",$B18="Li Mui Ying",$B18="Lee Ka Po, Kathy",$B18="Huang Huanrao, Yoyo")),"HDAL",
IF(OR(WEEKDAY(D$16,2)=7,AND(WEEKDAY(D$16,2)=6,SUMPRODUCT(($B$9:$AG$10=IFERROR(VLOOKUP($B18,'On call stat'!$S$3:$T$20,2,FALSE),""))*($B$3:$AG$3=D$16))&gt;0)),"DO",
IF(SUMPRODUCT(($B$9:$AG$10=IFERROR(VLOOKUP($B18,'On call stat'!$S$3:$T$20,2,FALSE),""))*($B$3:$AG$3=D$16))&gt;0,"AL",
IF(WEEKDAY(D$16,2)=6,
IF($B18="Chan, Man Wai","HD",
IF($B18="Ng Suet Ping, Yoko","HD",
IF($B18="Li Mui Ying","HD1",
IF($B18="Huang Huanrao, Yoyo",IF(MOD(D$13,2)=1,"HD2",IFERROR(IF(SUMPRODUCT(($B$3:$AG$3=D$16)*($B$5:$AG$7=VLOOKUP($B18,'On call stat'!$S$3:$T$10,2,FALSE)))&gt;0,"D","DO"),"DO")),
IF($B18="Lee Ka Po, Kathy",IF(MOD(D$13,2)=0,"HD2",IFERROR(IF(SUMPRODUCT(($B$3:$AG$3=D$16)*($B$5:$AG$7=VLOOKUP($B18,'On call stat'!$S$3:$T$10,2,FALSE)))&gt;0,"D","DO"),"DO")),
IF($B18="Fan Hoi Wan, Ivy",IF(MOD(D$13,2)=0,"D",IFERROR(IF(SUMPRODUCT(($B$3:$AG$3=D$16)*($B$5:$AG$7=VLOOKUP($B18,'On call stat'!$S$3:$T$10,2,FALSE)))&gt;0,"D","DO"),"DO")),
IFERROR(IF(SUMPRODUCT(($B$3:$AG$3=D$16)*($B$5:$AG$7=VLOOKUP($B18,'On call stat'!$S$3:$T$10,2,FALSE)))&gt;0,"D","DO"),"DO"))))))),
IF($B18="Huang Huanrao, Yoyo",IF(MOD(D$13,2)=1,"D1","B6"),
IF($B18="Lee Ka Po, Kathy",IF(MOD(D$13,2)=0,"D1","B6"),
IFERROR(IF(SUMPRODUCT(($B$3:$AG$3=D$16)*($B$5:$AG$7=VLOOKUP($B18,'On call stat'!$S$3:$T$10,2,FALSE)))&gt;0,"E","D"),"D"))))))))</f>
        <v>D</v>
      </c>
      <c r="E18" s="40" t="str">
        <f>IF(COUNTIF(PH!$A:$A,E$16)&gt;0,"PH",
IF(AND(SUMPRODUCT(($B$9:$AG$10=IFERROR(VLOOKUP($B18,'On call stat'!$S$3:$T$20,2,FALSE),""))*($B$3:$AG$3=E$16))&gt;0,OR(WEEKDAY(E$16,2)=6,),OR($B18="Chan, Man Wai",$B18="Ng Suet Ping, Yoko",$B18="Li Mui Ying",$B18="Lee Ka Po, Kathy",$B18="Huang Huanrao, Yoyo")),"HDAL",
IF(OR(WEEKDAY(E$16,2)=7,AND(WEEKDAY(E$16,2)=6,SUMPRODUCT(($B$9:$AG$10=IFERROR(VLOOKUP($B18,'On call stat'!$S$3:$T$20,2,FALSE),""))*($B$3:$AG$3=E$16))&gt;0)),"DO",
IF(SUMPRODUCT(($B$9:$AG$10=IFERROR(VLOOKUP($B18,'On call stat'!$S$3:$T$20,2,FALSE),""))*($B$3:$AG$3=E$16))&gt;0,"AL",
IF(WEEKDAY(E$16,2)=6,
IF($B18="Chan, Man Wai","HD",
IF($B18="Ng Suet Ping, Yoko","HD",
IF($B18="Li Mui Ying","HD1",
IF($B18="Huang Huanrao, Yoyo",IF(MOD(E$13,2)=1,"HD2",IFERROR(IF(SUMPRODUCT(($B$3:$AG$3=E$16)*($B$5:$AG$7=VLOOKUP($B18,'On call stat'!$S$3:$T$10,2,FALSE)))&gt;0,"D","DO"),"DO")),
IF($B18="Lee Ka Po, Kathy",IF(MOD(E$13,2)=0,"HD2",IFERROR(IF(SUMPRODUCT(($B$3:$AG$3=E$16)*($B$5:$AG$7=VLOOKUP($B18,'On call stat'!$S$3:$T$10,2,FALSE)))&gt;0,"D","DO"),"DO")),
IF($B18="Fan Hoi Wan, Ivy",IF(MOD(E$13,2)=0,"D",IFERROR(IF(SUMPRODUCT(($B$3:$AG$3=E$16)*($B$5:$AG$7=VLOOKUP($B18,'On call stat'!$S$3:$T$10,2,FALSE)))&gt;0,"D","DO"),"DO")),
IFERROR(IF(SUMPRODUCT(($B$3:$AG$3=E$16)*($B$5:$AG$7=VLOOKUP($B18,'On call stat'!$S$3:$T$10,2,FALSE)))&gt;0,"D","DO"),"DO"))))))),
IF($B18="Huang Huanrao, Yoyo",IF(MOD(E$13,2)=1,"D1","B6"),
IF($B18="Lee Ka Po, Kathy",IF(MOD(E$13,2)=0,"D1","B6"),
IFERROR(IF(SUMPRODUCT(($B$3:$AG$3=E$16)*($B$5:$AG$7=VLOOKUP($B18,'On call stat'!$S$3:$T$10,2,FALSE)))&gt;0,"E","D"),"D"))))))))</f>
        <v>D</v>
      </c>
      <c r="F18" s="40" t="str">
        <f>IF(COUNTIF(PH!$A:$A,F$16)&gt;0,"PH",
IF(AND(SUMPRODUCT(($B$9:$AG$10=IFERROR(VLOOKUP($B18,'On call stat'!$S$3:$T$20,2,FALSE),""))*($B$3:$AG$3=F$16))&gt;0,OR(WEEKDAY(F$16,2)=6,),OR($B18="Chan, Man Wai",$B18="Ng Suet Ping, Yoko",$B18="Li Mui Ying",$B18="Lee Ka Po, Kathy",$B18="Huang Huanrao, Yoyo")),"HDAL",
IF(OR(WEEKDAY(F$16,2)=7,AND(WEEKDAY(F$16,2)=6,SUMPRODUCT(($B$9:$AG$10=IFERROR(VLOOKUP($B18,'On call stat'!$S$3:$T$20,2,FALSE),""))*($B$3:$AG$3=F$16))&gt;0)),"DO",
IF(SUMPRODUCT(($B$9:$AG$10=IFERROR(VLOOKUP($B18,'On call stat'!$S$3:$T$20,2,FALSE),""))*($B$3:$AG$3=F$16))&gt;0,"AL",
IF(WEEKDAY(F$16,2)=6,
IF($B18="Chan, Man Wai","HD",
IF($B18="Ng Suet Ping, Yoko","HD",
IF($B18="Li Mui Ying","HD1",
IF($B18="Huang Huanrao, Yoyo",IF(MOD(F$13,2)=1,"HD2",IFERROR(IF(SUMPRODUCT(($B$3:$AG$3=F$16)*($B$5:$AG$7=VLOOKUP($B18,'On call stat'!$S$3:$T$10,2,FALSE)))&gt;0,"D","DO"),"DO")),
IF($B18="Lee Ka Po, Kathy",IF(MOD(F$13,2)=0,"HD2",IFERROR(IF(SUMPRODUCT(($B$3:$AG$3=F$16)*($B$5:$AG$7=VLOOKUP($B18,'On call stat'!$S$3:$T$10,2,FALSE)))&gt;0,"D","DO"),"DO")),
IF($B18="Fan Hoi Wan, Ivy",IF(MOD(F$13,2)=0,"D",IFERROR(IF(SUMPRODUCT(($B$3:$AG$3=F$16)*($B$5:$AG$7=VLOOKUP($B18,'On call stat'!$S$3:$T$10,2,FALSE)))&gt;0,"D","DO"),"DO")),
IFERROR(IF(SUMPRODUCT(($B$3:$AG$3=F$16)*($B$5:$AG$7=VLOOKUP($B18,'On call stat'!$S$3:$T$10,2,FALSE)))&gt;0,"D","DO"),"DO"))))))),
IF($B18="Huang Huanrao, Yoyo",IF(MOD(F$13,2)=1,"D1","B6"),
IF($B18="Lee Ka Po, Kathy",IF(MOD(F$13,2)=0,"D1","B6"),
IFERROR(IF(SUMPRODUCT(($B$3:$AG$3=F$16)*($B$5:$AG$7=VLOOKUP($B18,'On call stat'!$S$3:$T$10,2,FALSE)))&gt;0,"E","D"),"D"))))))))</f>
        <v>D</v>
      </c>
      <c r="G18" s="40" t="str">
        <f>IF(COUNTIF(PH!$A:$A,G$16)&gt;0,"PH",
IF(AND(SUMPRODUCT(($B$9:$AG$10=IFERROR(VLOOKUP($B18,'On call stat'!$S$3:$T$20,2,FALSE),""))*($B$3:$AG$3=G$16))&gt;0,OR(WEEKDAY(G$16,2)=6,),OR($B18="Chan, Man Wai",$B18="Ng Suet Ping, Yoko",$B18="Li Mui Ying",$B18="Lee Ka Po, Kathy",$B18="Huang Huanrao, Yoyo")),"HDAL",
IF(OR(WEEKDAY(G$16,2)=7,AND(WEEKDAY(G$16,2)=6,SUMPRODUCT(($B$9:$AG$10=IFERROR(VLOOKUP($B18,'On call stat'!$S$3:$T$20,2,FALSE),""))*($B$3:$AG$3=G$16))&gt;0)),"DO",
IF(SUMPRODUCT(($B$9:$AG$10=IFERROR(VLOOKUP($B18,'On call stat'!$S$3:$T$20,2,FALSE),""))*($B$3:$AG$3=G$16))&gt;0,"AL",
IF(WEEKDAY(G$16,2)=6,
IF($B18="Chan, Man Wai","HD",
IF($B18="Ng Suet Ping, Yoko","HD",
IF($B18="Li Mui Ying","HD1",
IF($B18="Huang Huanrao, Yoyo",IF(MOD(G$13,2)=1,"HD2",IFERROR(IF(SUMPRODUCT(($B$3:$AG$3=G$16)*($B$5:$AG$7=VLOOKUP($B18,'On call stat'!$S$3:$T$10,2,FALSE)))&gt;0,"D","DO"),"DO")),
IF($B18="Lee Ka Po, Kathy",IF(MOD(G$13,2)=0,"HD2",IFERROR(IF(SUMPRODUCT(($B$3:$AG$3=G$16)*($B$5:$AG$7=VLOOKUP($B18,'On call stat'!$S$3:$T$10,2,FALSE)))&gt;0,"D","DO"),"DO")),
IF($B18="Fan Hoi Wan, Ivy",IF(MOD(G$13,2)=0,"D",IFERROR(IF(SUMPRODUCT(($B$3:$AG$3=G$16)*($B$5:$AG$7=VLOOKUP($B18,'On call stat'!$S$3:$T$10,2,FALSE)))&gt;0,"D","DO"),"DO")),
IFERROR(IF(SUMPRODUCT(($B$3:$AG$3=G$16)*($B$5:$AG$7=VLOOKUP($B18,'On call stat'!$S$3:$T$10,2,FALSE)))&gt;0,"D","DO"),"DO"))))))),
IF($B18="Huang Huanrao, Yoyo",IF(MOD(G$13,2)=1,"D1","B6"),
IF($B18="Lee Ka Po, Kathy",IF(MOD(G$13,2)=0,"D1","B6"),
IFERROR(IF(SUMPRODUCT(($B$3:$AG$3=G$16)*($B$5:$AG$7=VLOOKUP($B18,'On call stat'!$S$3:$T$10,2,FALSE)))&gt;0,"E","D"),"D"))))))))</f>
        <v>HD</v>
      </c>
      <c r="H18" s="40" t="str">
        <f>IF(COUNTIF(PH!$A:$A,H$16)&gt;0,"PH",
IF(AND(SUMPRODUCT(($B$9:$AG$10=IFERROR(VLOOKUP($B18,'On call stat'!$S$3:$T$20,2,FALSE),""))*($B$3:$AG$3=H$16))&gt;0,OR(WEEKDAY(H$16,2)=6,),OR($B18="Chan, Man Wai",$B18="Ng Suet Ping, Yoko",$B18="Li Mui Ying",$B18="Lee Ka Po, Kathy",$B18="Huang Huanrao, Yoyo")),"HDAL",
IF(OR(WEEKDAY(H$16,2)=7,AND(WEEKDAY(H$16,2)=6,SUMPRODUCT(($B$9:$AG$10=IFERROR(VLOOKUP($B18,'On call stat'!$S$3:$T$20,2,FALSE),""))*($B$3:$AG$3=H$16))&gt;0)),"DO",
IF(SUMPRODUCT(($B$9:$AG$10=IFERROR(VLOOKUP($B18,'On call stat'!$S$3:$T$20,2,FALSE),""))*($B$3:$AG$3=H$16))&gt;0,"AL",
IF(WEEKDAY(H$16,2)=6,
IF($B18="Chan, Man Wai","HD",
IF($B18="Ng Suet Ping, Yoko","HD",
IF($B18="Li Mui Ying","HD1",
IF($B18="Huang Huanrao, Yoyo",IF(MOD(H$13,2)=1,"HD2",IFERROR(IF(SUMPRODUCT(($B$3:$AG$3=H$16)*($B$5:$AG$7=VLOOKUP($B18,'On call stat'!$S$3:$T$10,2,FALSE)))&gt;0,"D","DO"),"DO")),
IF($B18="Lee Ka Po, Kathy",IF(MOD(H$13,2)=0,"HD2",IFERROR(IF(SUMPRODUCT(($B$3:$AG$3=H$16)*($B$5:$AG$7=VLOOKUP($B18,'On call stat'!$S$3:$T$10,2,FALSE)))&gt;0,"D","DO"),"DO")),
IF($B18="Fan Hoi Wan, Ivy",IF(MOD(H$13,2)=0,"D",IFERROR(IF(SUMPRODUCT(($B$3:$AG$3=H$16)*($B$5:$AG$7=VLOOKUP($B18,'On call stat'!$S$3:$T$10,2,FALSE)))&gt;0,"D","DO"),"DO")),
IFERROR(IF(SUMPRODUCT(($B$3:$AG$3=H$16)*($B$5:$AG$7=VLOOKUP($B18,'On call stat'!$S$3:$T$10,2,FALSE)))&gt;0,"D","DO"),"DO"))))))),
IF($B18="Huang Huanrao, Yoyo",IF(MOD(H$13,2)=1,"D1","B6"),
IF($B18="Lee Ka Po, Kathy",IF(MOD(H$13,2)=0,"D1","B6"),
IFERROR(IF(SUMPRODUCT(($B$3:$AG$3=H$16)*($B$5:$AG$7=VLOOKUP($B18,'On call stat'!$S$3:$T$10,2,FALSE)))&gt;0,"E","D"),"D"))))))))</f>
        <v>DO</v>
      </c>
      <c r="I18" s="40" t="str">
        <f>IF(COUNTIF(PH!$A:$A,I$16)&gt;0,"PH",
IF(AND(SUMPRODUCT(($B$9:$AG$10=IFERROR(VLOOKUP($B18,'On call stat'!$S$3:$T$20,2,FALSE),""))*($B$3:$AG$3=I$16))&gt;0,OR(WEEKDAY(I$16,2)=6,),OR($B18="Chan, Man Wai",$B18="Ng Suet Ping, Yoko",$B18="Li Mui Ying",$B18="Lee Ka Po, Kathy",$B18="Huang Huanrao, Yoyo")),"HDAL",
IF(OR(WEEKDAY(I$16,2)=7,AND(WEEKDAY(I$16,2)=6,SUMPRODUCT(($B$9:$AG$10=IFERROR(VLOOKUP($B18,'On call stat'!$S$3:$T$20,2,FALSE),""))*($B$3:$AG$3=I$16))&gt;0)),"DO",
IF(SUMPRODUCT(($B$9:$AG$10=IFERROR(VLOOKUP($B18,'On call stat'!$S$3:$T$20,2,FALSE),""))*($B$3:$AG$3=I$16))&gt;0,"AL",
IF(WEEKDAY(I$16,2)=6,
IF($B18="Chan, Man Wai","HD",
IF($B18="Ng Suet Ping, Yoko","HD",
IF($B18="Li Mui Ying","HD1",
IF($B18="Huang Huanrao, Yoyo",IF(MOD(I$13,2)=1,"HD2",IFERROR(IF(SUMPRODUCT(($B$3:$AG$3=I$16)*($B$5:$AG$7=VLOOKUP($B18,'On call stat'!$S$3:$T$10,2,FALSE)))&gt;0,"D","DO"),"DO")),
IF($B18="Lee Ka Po, Kathy",IF(MOD(I$13,2)=0,"HD2",IFERROR(IF(SUMPRODUCT(($B$3:$AG$3=I$16)*($B$5:$AG$7=VLOOKUP($B18,'On call stat'!$S$3:$T$10,2,FALSE)))&gt;0,"D","DO"),"DO")),
IF($B18="Fan Hoi Wan, Ivy",IF(MOD(I$13,2)=0,"D",IFERROR(IF(SUMPRODUCT(($B$3:$AG$3=I$16)*($B$5:$AG$7=VLOOKUP($B18,'On call stat'!$S$3:$T$10,2,FALSE)))&gt;0,"D","DO"),"DO")),
IFERROR(IF(SUMPRODUCT(($B$3:$AG$3=I$16)*($B$5:$AG$7=VLOOKUP($B18,'On call stat'!$S$3:$T$10,2,FALSE)))&gt;0,"D","DO"),"DO"))))))),
IF($B18="Huang Huanrao, Yoyo",IF(MOD(I$13,2)=1,"D1","B6"),
IF($B18="Lee Ka Po, Kathy",IF(MOD(I$13,2)=0,"D1","B6"),
IFERROR(IF(SUMPRODUCT(($B$3:$AG$3=I$16)*($B$5:$AG$7=VLOOKUP($B18,'On call stat'!$S$3:$T$10,2,FALSE)))&gt;0,"E","D"),"D"))))))))</f>
        <v>D</v>
      </c>
      <c r="J18" s="40" t="str">
        <f>IF(COUNTIF(PH!$A:$A,J$16)&gt;0,"PH",
IF(AND(SUMPRODUCT(($B$9:$AG$10=IFERROR(VLOOKUP($B18,'On call stat'!$S$3:$T$20,2,FALSE),""))*($B$3:$AG$3=J$16))&gt;0,OR(WEEKDAY(J$16,2)=6,),OR($B18="Chan, Man Wai",$B18="Ng Suet Ping, Yoko",$B18="Li Mui Ying",$B18="Lee Ka Po, Kathy",$B18="Huang Huanrao, Yoyo")),"HDAL",
IF(OR(WEEKDAY(J$16,2)=7,AND(WEEKDAY(J$16,2)=6,SUMPRODUCT(($B$9:$AG$10=IFERROR(VLOOKUP($B18,'On call stat'!$S$3:$T$20,2,FALSE),""))*($B$3:$AG$3=J$16))&gt;0)),"DO",
IF(SUMPRODUCT(($B$9:$AG$10=IFERROR(VLOOKUP($B18,'On call stat'!$S$3:$T$20,2,FALSE),""))*($B$3:$AG$3=J$16))&gt;0,"AL",
IF(WEEKDAY(J$16,2)=6,
IF($B18="Chan, Man Wai","HD",
IF($B18="Ng Suet Ping, Yoko","HD",
IF($B18="Li Mui Ying","HD1",
IF($B18="Huang Huanrao, Yoyo",IF(MOD(J$13,2)=1,"HD2",IFERROR(IF(SUMPRODUCT(($B$3:$AG$3=J$16)*($B$5:$AG$7=VLOOKUP($B18,'On call stat'!$S$3:$T$10,2,FALSE)))&gt;0,"D","DO"),"DO")),
IF($B18="Lee Ka Po, Kathy",IF(MOD(J$13,2)=0,"HD2",IFERROR(IF(SUMPRODUCT(($B$3:$AG$3=J$16)*($B$5:$AG$7=VLOOKUP($B18,'On call stat'!$S$3:$T$10,2,FALSE)))&gt;0,"D","DO"),"DO")),
IF($B18="Fan Hoi Wan, Ivy",IF(MOD(J$13,2)=0,"D",IFERROR(IF(SUMPRODUCT(($B$3:$AG$3=J$16)*($B$5:$AG$7=VLOOKUP($B18,'On call stat'!$S$3:$T$10,2,FALSE)))&gt;0,"D","DO"),"DO")),
IFERROR(IF(SUMPRODUCT(($B$3:$AG$3=J$16)*($B$5:$AG$7=VLOOKUP($B18,'On call stat'!$S$3:$T$10,2,FALSE)))&gt;0,"D","DO"),"DO"))))))),
IF($B18="Huang Huanrao, Yoyo",IF(MOD(J$13,2)=1,"D1","B6"),
IF($B18="Lee Ka Po, Kathy",IF(MOD(J$13,2)=0,"D1","B6"),
IFERROR(IF(SUMPRODUCT(($B$3:$AG$3=J$16)*($B$5:$AG$7=VLOOKUP($B18,'On call stat'!$S$3:$T$10,2,FALSE)))&gt;0,"E","D"),"D"))))))))</f>
        <v>D</v>
      </c>
      <c r="K18" s="40" t="str">
        <f>IF(COUNTIF(PH!$A:$A,K$16)&gt;0,"PH",
IF(AND(SUMPRODUCT(($B$9:$AG$10=IFERROR(VLOOKUP($B18,'On call stat'!$S$3:$T$20,2,FALSE),""))*($B$3:$AG$3=K$16))&gt;0,OR(WEEKDAY(K$16,2)=6,),OR($B18="Chan, Man Wai",$B18="Ng Suet Ping, Yoko",$B18="Li Mui Ying",$B18="Lee Ka Po, Kathy",$B18="Huang Huanrao, Yoyo")),"HDAL",
IF(OR(WEEKDAY(K$16,2)=7,AND(WEEKDAY(K$16,2)=6,SUMPRODUCT(($B$9:$AG$10=IFERROR(VLOOKUP($B18,'On call stat'!$S$3:$T$20,2,FALSE),""))*($B$3:$AG$3=K$16))&gt;0)),"DO",
IF(SUMPRODUCT(($B$9:$AG$10=IFERROR(VLOOKUP($B18,'On call stat'!$S$3:$T$20,2,FALSE),""))*($B$3:$AG$3=K$16))&gt;0,"AL",
IF(WEEKDAY(K$16,2)=6,
IF($B18="Chan, Man Wai","HD",
IF($B18="Ng Suet Ping, Yoko","HD",
IF($B18="Li Mui Ying","HD1",
IF($B18="Huang Huanrao, Yoyo",IF(MOD(K$13,2)=1,"HD2",IFERROR(IF(SUMPRODUCT(($B$3:$AG$3=K$16)*($B$5:$AG$7=VLOOKUP($B18,'On call stat'!$S$3:$T$10,2,FALSE)))&gt;0,"D","DO"),"DO")),
IF($B18="Lee Ka Po, Kathy",IF(MOD(K$13,2)=0,"HD2",IFERROR(IF(SUMPRODUCT(($B$3:$AG$3=K$16)*($B$5:$AG$7=VLOOKUP($B18,'On call stat'!$S$3:$T$10,2,FALSE)))&gt;0,"D","DO"),"DO")),
IF($B18="Fan Hoi Wan, Ivy",IF(MOD(K$13,2)=0,"D",IFERROR(IF(SUMPRODUCT(($B$3:$AG$3=K$16)*($B$5:$AG$7=VLOOKUP($B18,'On call stat'!$S$3:$T$10,2,FALSE)))&gt;0,"D","DO"),"DO")),
IFERROR(IF(SUMPRODUCT(($B$3:$AG$3=K$16)*($B$5:$AG$7=VLOOKUP($B18,'On call stat'!$S$3:$T$10,2,FALSE)))&gt;0,"D","DO"),"DO"))))))),
IF($B18="Huang Huanrao, Yoyo",IF(MOD(K$13,2)=1,"D1","B6"),
IF($B18="Lee Ka Po, Kathy",IF(MOD(K$13,2)=0,"D1","B6"),
IFERROR(IF(SUMPRODUCT(($B$3:$AG$3=K$16)*($B$5:$AG$7=VLOOKUP($B18,'On call stat'!$S$3:$T$10,2,FALSE)))&gt;0,"E","D"),"D"))))))))</f>
        <v>D</v>
      </c>
      <c r="L18" s="40" t="str">
        <f>IF(COUNTIF(PH!$A:$A,L$16)&gt;0,"PH",
IF(AND(SUMPRODUCT(($B$9:$AG$10=IFERROR(VLOOKUP($B18,'On call stat'!$S$3:$T$20,2,FALSE),""))*($B$3:$AG$3=L$16))&gt;0,OR(WEEKDAY(L$16,2)=6,),OR($B18="Chan, Man Wai",$B18="Ng Suet Ping, Yoko",$B18="Li Mui Ying",$B18="Lee Ka Po, Kathy",$B18="Huang Huanrao, Yoyo")),"HDAL",
IF(OR(WEEKDAY(L$16,2)=7,AND(WEEKDAY(L$16,2)=6,SUMPRODUCT(($B$9:$AG$10=IFERROR(VLOOKUP($B18,'On call stat'!$S$3:$T$20,2,FALSE),""))*($B$3:$AG$3=L$16))&gt;0)),"DO",
IF(SUMPRODUCT(($B$9:$AG$10=IFERROR(VLOOKUP($B18,'On call stat'!$S$3:$T$20,2,FALSE),""))*($B$3:$AG$3=L$16))&gt;0,"AL",
IF(WEEKDAY(L$16,2)=6,
IF($B18="Chan, Man Wai","HD",
IF($B18="Ng Suet Ping, Yoko","HD",
IF($B18="Li Mui Ying","HD1",
IF($B18="Huang Huanrao, Yoyo",IF(MOD(L$13,2)=1,"HD2",IFERROR(IF(SUMPRODUCT(($B$3:$AG$3=L$16)*($B$5:$AG$7=VLOOKUP($B18,'On call stat'!$S$3:$T$10,2,FALSE)))&gt;0,"D","DO"),"DO")),
IF($B18="Lee Ka Po, Kathy",IF(MOD(L$13,2)=0,"HD2",IFERROR(IF(SUMPRODUCT(($B$3:$AG$3=L$16)*($B$5:$AG$7=VLOOKUP($B18,'On call stat'!$S$3:$T$10,2,FALSE)))&gt;0,"D","DO"),"DO")),
IF($B18="Fan Hoi Wan, Ivy",IF(MOD(L$13,2)=0,"D",IFERROR(IF(SUMPRODUCT(($B$3:$AG$3=L$16)*($B$5:$AG$7=VLOOKUP($B18,'On call stat'!$S$3:$T$10,2,FALSE)))&gt;0,"D","DO"),"DO")),
IFERROR(IF(SUMPRODUCT(($B$3:$AG$3=L$16)*($B$5:$AG$7=VLOOKUP($B18,'On call stat'!$S$3:$T$10,2,FALSE)))&gt;0,"D","DO"),"DO"))))))),
IF($B18="Huang Huanrao, Yoyo",IF(MOD(L$13,2)=1,"D1","B6"),
IF($B18="Lee Ka Po, Kathy",IF(MOD(L$13,2)=0,"D1","B6"),
IFERROR(IF(SUMPRODUCT(($B$3:$AG$3=L$16)*($B$5:$AG$7=VLOOKUP($B18,'On call stat'!$S$3:$T$10,2,FALSE)))&gt;0,"E","D"),"D"))))))))</f>
        <v>D</v>
      </c>
      <c r="M18" s="40" t="str">
        <f>IF(COUNTIF(PH!$A:$A,M$16)&gt;0,"PH",
IF(AND(SUMPRODUCT(($B$9:$AG$10=IFERROR(VLOOKUP($B18,'On call stat'!$S$3:$T$20,2,FALSE),""))*($B$3:$AG$3=M$16))&gt;0,OR(WEEKDAY(M$16,2)=6,),OR($B18="Chan, Man Wai",$B18="Ng Suet Ping, Yoko",$B18="Li Mui Ying",$B18="Lee Ka Po, Kathy",$B18="Huang Huanrao, Yoyo")),"HDAL",
IF(OR(WEEKDAY(M$16,2)=7,AND(WEEKDAY(M$16,2)=6,SUMPRODUCT(($B$9:$AG$10=IFERROR(VLOOKUP($B18,'On call stat'!$S$3:$T$20,2,FALSE),""))*($B$3:$AG$3=M$16))&gt;0)),"DO",
IF(SUMPRODUCT(($B$9:$AG$10=IFERROR(VLOOKUP($B18,'On call stat'!$S$3:$T$20,2,FALSE),""))*($B$3:$AG$3=M$16))&gt;0,"AL",
IF(WEEKDAY(M$16,2)=6,
IF($B18="Chan, Man Wai","HD",
IF($B18="Ng Suet Ping, Yoko","HD",
IF($B18="Li Mui Ying","HD1",
IF($B18="Huang Huanrao, Yoyo",IF(MOD(M$13,2)=1,"HD2",IFERROR(IF(SUMPRODUCT(($B$3:$AG$3=M$16)*($B$5:$AG$7=VLOOKUP($B18,'On call stat'!$S$3:$T$10,2,FALSE)))&gt;0,"D","DO"),"DO")),
IF($B18="Lee Ka Po, Kathy",IF(MOD(M$13,2)=0,"HD2",IFERROR(IF(SUMPRODUCT(($B$3:$AG$3=M$16)*($B$5:$AG$7=VLOOKUP($B18,'On call stat'!$S$3:$T$10,2,FALSE)))&gt;0,"D","DO"),"DO")),
IF($B18="Fan Hoi Wan, Ivy",IF(MOD(M$13,2)=0,"D",IFERROR(IF(SUMPRODUCT(($B$3:$AG$3=M$16)*($B$5:$AG$7=VLOOKUP($B18,'On call stat'!$S$3:$T$10,2,FALSE)))&gt;0,"D","DO"),"DO")),
IFERROR(IF(SUMPRODUCT(($B$3:$AG$3=M$16)*($B$5:$AG$7=VLOOKUP($B18,'On call stat'!$S$3:$T$10,2,FALSE)))&gt;0,"D","DO"),"DO"))))))),
IF($B18="Huang Huanrao, Yoyo",IF(MOD(M$13,2)=1,"D1","B6"),
IF($B18="Lee Ka Po, Kathy",IF(MOD(M$13,2)=0,"D1","B6"),
IFERROR(IF(SUMPRODUCT(($B$3:$AG$3=M$16)*($B$5:$AG$7=VLOOKUP($B18,'On call stat'!$S$3:$T$10,2,FALSE)))&gt;0,"E","D"),"D"))))))))</f>
        <v>D</v>
      </c>
      <c r="N18" s="40" t="str">
        <f>IF(COUNTIF(PH!$A:$A,N$16)&gt;0,"PH",
IF(AND(SUMPRODUCT(($B$9:$AG$10=IFERROR(VLOOKUP($B18,'On call stat'!$S$3:$T$20,2,FALSE),""))*($B$3:$AG$3=N$16))&gt;0,OR(WEEKDAY(N$16,2)=6,),OR($B18="Chan, Man Wai",$B18="Ng Suet Ping, Yoko",$B18="Li Mui Ying",$B18="Lee Ka Po, Kathy",$B18="Huang Huanrao, Yoyo")),"HDAL",
IF(OR(WEEKDAY(N$16,2)=7,AND(WEEKDAY(N$16,2)=6,SUMPRODUCT(($B$9:$AG$10=IFERROR(VLOOKUP($B18,'On call stat'!$S$3:$T$20,2,FALSE),""))*($B$3:$AG$3=N$16))&gt;0)),"DO",
IF(SUMPRODUCT(($B$9:$AG$10=IFERROR(VLOOKUP($B18,'On call stat'!$S$3:$T$20,2,FALSE),""))*($B$3:$AG$3=N$16))&gt;0,"AL",
IF(WEEKDAY(N$16,2)=6,
IF($B18="Chan, Man Wai","HD",
IF($B18="Ng Suet Ping, Yoko","HD",
IF($B18="Li Mui Ying","HD1",
IF($B18="Huang Huanrao, Yoyo",IF(MOD(N$13,2)=1,"HD2",IFERROR(IF(SUMPRODUCT(($B$3:$AG$3=N$16)*($B$5:$AG$7=VLOOKUP($B18,'On call stat'!$S$3:$T$10,2,FALSE)))&gt;0,"D","DO"),"DO")),
IF($B18="Lee Ka Po, Kathy",IF(MOD(N$13,2)=0,"HD2",IFERROR(IF(SUMPRODUCT(($B$3:$AG$3=N$16)*($B$5:$AG$7=VLOOKUP($B18,'On call stat'!$S$3:$T$10,2,FALSE)))&gt;0,"D","DO"),"DO")),
IF($B18="Fan Hoi Wan, Ivy",IF(MOD(N$13,2)=0,"D",IFERROR(IF(SUMPRODUCT(($B$3:$AG$3=N$16)*($B$5:$AG$7=VLOOKUP($B18,'On call stat'!$S$3:$T$10,2,FALSE)))&gt;0,"D","DO"),"DO")),
IFERROR(IF(SUMPRODUCT(($B$3:$AG$3=N$16)*($B$5:$AG$7=VLOOKUP($B18,'On call stat'!$S$3:$T$10,2,FALSE)))&gt;0,"D","DO"),"DO"))))))),
IF($B18="Huang Huanrao, Yoyo",IF(MOD(N$13,2)=1,"D1","B6"),
IF($B18="Lee Ka Po, Kathy",IF(MOD(N$13,2)=0,"D1","B6"),
IFERROR(IF(SUMPRODUCT(($B$3:$AG$3=N$16)*($B$5:$AG$7=VLOOKUP($B18,'On call stat'!$S$3:$T$10,2,FALSE)))&gt;0,"E","D"),"D"))))))))</f>
        <v>HD</v>
      </c>
      <c r="O18" s="40" t="str">
        <f>IF(COUNTIF(PH!$A:$A,O$16)&gt;0,"PH",
IF(AND(SUMPRODUCT(($B$9:$AG$10=IFERROR(VLOOKUP($B18,'On call stat'!$S$3:$T$20,2,FALSE),""))*($B$3:$AG$3=O$16))&gt;0,OR(WEEKDAY(O$16,2)=6,),OR($B18="Chan, Man Wai",$B18="Ng Suet Ping, Yoko",$B18="Li Mui Ying",$B18="Lee Ka Po, Kathy",$B18="Huang Huanrao, Yoyo")),"HDAL",
IF(OR(WEEKDAY(O$16,2)=7,AND(WEEKDAY(O$16,2)=6,SUMPRODUCT(($B$9:$AG$10=IFERROR(VLOOKUP($B18,'On call stat'!$S$3:$T$20,2,FALSE),""))*($B$3:$AG$3=O$16))&gt;0)),"DO",
IF(SUMPRODUCT(($B$9:$AG$10=IFERROR(VLOOKUP($B18,'On call stat'!$S$3:$T$20,2,FALSE),""))*($B$3:$AG$3=O$16))&gt;0,"AL",
IF(WEEKDAY(O$16,2)=6,
IF($B18="Chan, Man Wai","HD",
IF($B18="Ng Suet Ping, Yoko","HD",
IF($B18="Li Mui Ying","HD1",
IF($B18="Huang Huanrao, Yoyo",IF(MOD(O$13,2)=1,"HD2",IFERROR(IF(SUMPRODUCT(($B$3:$AG$3=O$16)*($B$5:$AG$7=VLOOKUP($B18,'On call stat'!$S$3:$T$10,2,FALSE)))&gt;0,"D","DO"),"DO")),
IF($B18="Lee Ka Po, Kathy",IF(MOD(O$13,2)=0,"HD2",IFERROR(IF(SUMPRODUCT(($B$3:$AG$3=O$16)*($B$5:$AG$7=VLOOKUP($B18,'On call stat'!$S$3:$T$10,2,FALSE)))&gt;0,"D","DO"),"DO")),
IF($B18="Fan Hoi Wan, Ivy",IF(MOD(O$13,2)=0,"D",IFERROR(IF(SUMPRODUCT(($B$3:$AG$3=O$16)*($B$5:$AG$7=VLOOKUP($B18,'On call stat'!$S$3:$T$10,2,FALSE)))&gt;0,"D","DO"),"DO")),
IFERROR(IF(SUMPRODUCT(($B$3:$AG$3=O$16)*($B$5:$AG$7=VLOOKUP($B18,'On call stat'!$S$3:$T$10,2,FALSE)))&gt;0,"D","DO"),"DO"))))))),
IF($B18="Huang Huanrao, Yoyo",IF(MOD(O$13,2)=1,"D1","B6"),
IF($B18="Lee Ka Po, Kathy",IF(MOD(O$13,2)=0,"D1","B6"),
IFERROR(IF(SUMPRODUCT(($B$3:$AG$3=O$16)*($B$5:$AG$7=VLOOKUP($B18,'On call stat'!$S$3:$T$10,2,FALSE)))&gt;0,"E","D"),"D"))))))))</f>
        <v>DO</v>
      </c>
      <c r="P18" s="40" t="str">
        <f>IF(COUNTIF(PH!$A:$A,P$16)&gt;0,"PH",
IF(AND(SUMPRODUCT(($B$9:$AG$10=IFERROR(VLOOKUP($B18,'On call stat'!$S$3:$T$20,2,FALSE),""))*($B$3:$AG$3=P$16))&gt;0,OR(WEEKDAY(P$16,2)=6,),OR($B18="Chan, Man Wai",$B18="Ng Suet Ping, Yoko",$B18="Li Mui Ying",$B18="Lee Ka Po, Kathy",$B18="Huang Huanrao, Yoyo")),"HDAL",
IF(OR(WEEKDAY(P$16,2)=7,AND(WEEKDAY(P$16,2)=6,SUMPRODUCT(($B$9:$AG$10=IFERROR(VLOOKUP($B18,'On call stat'!$S$3:$T$20,2,FALSE),""))*($B$3:$AG$3=P$16))&gt;0)),"DO",
IF(SUMPRODUCT(($B$9:$AG$10=IFERROR(VLOOKUP($B18,'On call stat'!$S$3:$T$20,2,FALSE),""))*($B$3:$AG$3=P$16))&gt;0,"AL",
IF(WEEKDAY(P$16,2)=6,
IF($B18="Chan, Man Wai","HD",
IF($B18="Ng Suet Ping, Yoko","HD",
IF($B18="Li Mui Ying","HD1",
IF($B18="Huang Huanrao, Yoyo",IF(MOD(P$13,2)=1,"HD2",IFERROR(IF(SUMPRODUCT(($B$3:$AG$3=P$16)*($B$5:$AG$7=VLOOKUP($B18,'On call stat'!$S$3:$T$10,2,FALSE)))&gt;0,"D","DO"),"DO")),
IF($B18="Lee Ka Po, Kathy",IF(MOD(P$13,2)=0,"HD2",IFERROR(IF(SUMPRODUCT(($B$3:$AG$3=P$16)*($B$5:$AG$7=VLOOKUP($B18,'On call stat'!$S$3:$T$10,2,FALSE)))&gt;0,"D","DO"),"DO")),
IF($B18="Fan Hoi Wan, Ivy",IF(MOD(P$13,2)=0,"D",IFERROR(IF(SUMPRODUCT(($B$3:$AG$3=P$16)*($B$5:$AG$7=VLOOKUP($B18,'On call stat'!$S$3:$T$10,2,FALSE)))&gt;0,"D","DO"),"DO")),
IFERROR(IF(SUMPRODUCT(($B$3:$AG$3=P$16)*($B$5:$AG$7=VLOOKUP($B18,'On call stat'!$S$3:$T$10,2,FALSE)))&gt;0,"D","DO"),"DO"))))))),
IF($B18="Huang Huanrao, Yoyo",IF(MOD(P$13,2)=1,"D1","B6"),
IF($B18="Lee Ka Po, Kathy",IF(MOD(P$13,2)=0,"D1","B6"),
IFERROR(IF(SUMPRODUCT(($B$3:$AG$3=P$16)*($B$5:$AG$7=VLOOKUP($B18,'On call stat'!$S$3:$T$10,2,FALSE)))&gt;0,"E","D"),"D"))))))))</f>
        <v>D</v>
      </c>
      <c r="Q18" s="40" t="str">
        <f>IF(COUNTIF(PH!$A:$A,Q$16)&gt;0,"PH",
IF(AND(SUMPRODUCT(($B$9:$AG$10=IFERROR(VLOOKUP($B18,'On call stat'!$S$3:$T$20,2,FALSE),""))*($B$3:$AG$3=Q$16))&gt;0,OR(WEEKDAY(Q$16,2)=6,),OR($B18="Chan, Man Wai",$B18="Ng Suet Ping, Yoko",$B18="Li Mui Ying",$B18="Lee Ka Po, Kathy",$B18="Huang Huanrao, Yoyo")),"HDAL",
IF(OR(WEEKDAY(Q$16,2)=7,AND(WEEKDAY(Q$16,2)=6,SUMPRODUCT(($B$9:$AG$10=IFERROR(VLOOKUP($B18,'On call stat'!$S$3:$T$20,2,FALSE),""))*($B$3:$AG$3=Q$16))&gt;0)),"DO",
IF(SUMPRODUCT(($B$9:$AG$10=IFERROR(VLOOKUP($B18,'On call stat'!$S$3:$T$20,2,FALSE),""))*($B$3:$AG$3=Q$16))&gt;0,"AL",
IF(WEEKDAY(Q$16,2)=6,
IF($B18="Chan, Man Wai","HD",
IF($B18="Ng Suet Ping, Yoko","HD",
IF($B18="Li Mui Ying","HD1",
IF($B18="Huang Huanrao, Yoyo",IF(MOD(Q$13,2)=1,"HD2",IFERROR(IF(SUMPRODUCT(($B$3:$AG$3=Q$16)*($B$5:$AG$7=VLOOKUP($B18,'On call stat'!$S$3:$T$10,2,FALSE)))&gt;0,"D","DO"),"DO")),
IF($B18="Lee Ka Po, Kathy",IF(MOD(Q$13,2)=0,"HD2",IFERROR(IF(SUMPRODUCT(($B$3:$AG$3=Q$16)*($B$5:$AG$7=VLOOKUP($B18,'On call stat'!$S$3:$T$10,2,FALSE)))&gt;0,"D","DO"),"DO")),
IF($B18="Fan Hoi Wan, Ivy",IF(MOD(Q$13,2)=0,"D",IFERROR(IF(SUMPRODUCT(($B$3:$AG$3=Q$16)*($B$5:$AG$7=VLOOKUP($B18,'On call stat'!$S$3:$T$10,2,FALSE)))&gt;0,"D","DO"),"DO")),
IFERROR(IF(SUMPRODUCT(($B$3:$AG$3=Q$16)*($B$5:$AG$7=VLOOKUP($B18,'On call stat'!$S$3:$T$10,2,FALSE)))&gt;0,"D","DO"),"DO"))))))),
IF($B18="Huang Huanrao, Yoyo",IF(MOD(Q$13,2)=1,"D1","B6"),
IF($B18="Lee Ka Po, Kathy",IF(MOD(Q$13,2)=0,"D1","B6"),
IFERROR(IF(SUMPRODUCT(($B$3:$AG$3=Q$16)*($B$5:$AG$7=VLOOKUP($B18,'On call stat'!$S$3:$T$10,2,FALSE)))&gt;0,"E","D"),"D"))))))))</f>
        <v>D</v>
      </c>
      <c r="R18" s="40" t="str">
        <f>IF(COUNTIF(PH!$A:$A,R$16)&gt;0,"PH",
IF(AND(SUMPRODUCT(($B$9:$AG$10=IFERROR(VLOOKUP($B18,'On call stat'!$S$3:$T$20,2,FALSE),""))*($B$3:$AG$3=R$16))&gt;0,OR(WEEKDAY(R$16,2)=6,),OR($B18="Chan, Man Wai",$B18="Ng Suet Ping, Yoko",$B18="Li Mui Ying",$B18="Lee Ka Po, Kathy",$B18="Huang Huanrao, Yoyo")),"HDAL",
IF(OR(WEEKDAY(R$16,2)=7,AND(WEEKDAY(R$16,2)=6,SUMPRODUCT(($B$9:$AG$10=IFERROR(VLOOKUP($B18,'On call stat'!$S$3:$T$20,2,FALSE),""))*($B$3:$AG$3=R$16))&gt;0)),"DO",
IF(SUMPRODUCT(($B$9:$AG$10=IFERROR(VLOOKUP($B18,'On call stat'!$S$3:$T$20,2,FALSE),""))*($B$3:$AG$3=R$16))&gt;0,"AL",
IF(WEEKDAY(R$16,2)=6,
IF($B18="Chan, Man Wai","HD",
IF($B18="Ng Suet Ping, Yoko","HD",
IF($B18="Li Mui Ying","HD1",
IF($B18="Huang Huanrao, Yoyo",IF(MOD(R$13,2)=1,"HD2",IFERROR(IF(SUMPRODUCT(($B$3:$AG$3=R$16)*($B$5:$AG$7=VLOOKUP($B18,'On call stat'!$S$3:$T$10,2,FALSE)))&gt;0,"D","DO"),"DO")),
IF($B18="Lee Ka Po, Kathy",IF(MOD(R$13,2)=0,"HD2",IFERROR(IF(SUMPRODUCT(($B$3:$AG$3=R$16)*($B$5:$AG$7=VLOOKUP($B18,'On call stat'!$S$3:$T$10,2,FALSE)))&gt;0,"D","DO"),"DO")),
IF($B18="Fan Hoi Wan, Ivy",IF(MOD(R$13,2)=0,"D",IFERROR(IF(SUMPRODUCT(($B$3:$AG$3=R$16)*($B$5:$AG$7=VLOOKUP($B18,'On call stat'!$S$3:$T$10,2,FALSE)))&gt;0,"D","DO"),"DO")),
IFERROR(IF(SUMPRODUCT(($B$3:$AG$3=R$16)*($B$5:$AG$7=VLOOKUP($B18,'On call stat'!$S$3:$T$10,2,FALSE)))&gt;0,"D","DO"),"DO"))))))),
IF($B18="Huang Huanrao, Yoyo",IF(MOD(R$13,2)=1,"D1","B6"),
IF($B18="Lee Ka Po, Kathy",IF(MOD(R$13,2)=0,"D1","B6"),
IFERROR(IF(SUMPRODUCT(($B$3:$AG$3=R$16)*($B$5:$AG$7=VLOOKUP($B18,'On call stat'!$S$3:$T$10,2,FALSE)))&gt;0,"E","D"),"D"))))))))</f>
        <v>D</v>
      </c>
      <c r="S18" s="40" t="str">
        <f>IF(COUNTIF(PH!$A:$A,S$16)&gt;0,"PH",
IF(AND(SUMPRODUCT(($B$9:$AG$10=IFERROR(VLOOKUP($B18,'On call stat'!$S$3:$T$20,2,FALSE),""))*($B$3:$AG$3=S$16))&gt;0,OR(WEEKDAY(S$16,2)=6,),OR($B18="Chan, Man Wai",$B18="Ng Suet Ping, Yoko",$B18="Li Mui Ying",$B18="Lee Ka Po, Kathy",$B18="Huang Huanrao, Yoyo")),"HDAL",
IF(OR(WEEKDAY(S$16,2)=7,AND(WEEKDAY(S$16,2)=6,SUMPRODUCT(($B$9:$AG$10=IFERROR(VLOOKUP($B18,'On call stat'!$S$3:$T$20,2,FALSE),""))*($B$3:$AG$3=S$16))&gt;0)),"DO",
IF(SUMPRODUCT(($B$9:$AG$10=IFERROR(VLOOKUP($B18,'On call stat'!$S$3:$T$20,2,FALSE),""))*($B$3:$AG$3=S$16))&gt;0,"AL",
IF(WEEKDAY(S$16,2)=6,
IF($B18="Chan, Man Wai","HD",
IF($B18="Ng Suet Ping, Yoko","HD",
IF($B18="Li Mui Ying","HD1",
IF($B18="Huang Huanrao, Yoyo",IF(MOD(S$13,2)=1,"HD2",IFERROR(IF(SUMPRODUCT(($B$3:$AG$3=S$16)*($B$5:$AG$7=VLOOKUP($B18,'On call stat'!$S$3:$T$10,2,FALSE)))&gt;0,"D","DO"),"DO")),
IF($B18="Lee Ka Po, Kathy",IF(MOD(S$13,2)=0,"HD2",IFERROR(IF(SUMPRODUCT(($B$3:$AG$3=S$16)*($B$5:$AG$7=VLOOKUP($B18,'On call stat'!$S$3:$T$10,2,FALSE)))&gt;0,"D","DO"),"DO")),
IF($B18="Fan Hoi Wan, Ivy",IF(MOD(S$13,2)=0,"D",IFERROR(IF(SUMPRODUCT(($B$3:$AG$3=S$16)*($B$5:$AG$7=VLOOKUP($B18,'On call stat'!$S$3:$T$10,2,FALSE)))&gt;0,"D","DO"),"DO")),
IFERROR(IF(SUMPRODUCT(($B$3:$AG$3=S$16)*($B$5:$AG$7=VLOOKUP($B18,'On call stat'!$S$3:$T$10,2,FALSE)))&gt;0,"D","DO"),"DO"))))))),
IF($B18="Huang Huanrao, Yoyo",IF(MOD(S$13,2)=1,"D1","B6"),
IF($B18="Lee Ka Po, Kathy",IF(MOD(S$13,2)=0,"D1","B6"),
IFERROR(IF(SUMPRODUCT(($B$3:$AG$3=S$16)*($B$5:$AG$7=VLOOKUP($B18,'On call stat'!$S$3:$T$10,2,FALSE)))&gt;0,"E","D"),"D"))))))))</f>
        <v>D</v>
      </c>
      <c r="T18" s="40" t="str">
        <f>IF(COUNTIF(PH!$A:$A,T$16)&gt;0,"PH",
IF(AND(SUMPRODUCT(($B$9:$AG$10=IFERROR(VLOOKUP($B18,'On call stat'!$S$3:$T$20,2,FALSE),""))*($B$3:$AG$3=T$16))&gt;0,OR(WEEKDAY(T$16,2)=6,),OR($B18="Chan, Man Wai",$B18="Ng Suet Ping, Yoko",$B18="Li Mui Ying",$B18="Lee Ka Po, Kathy",$B18="Huang Huanrao, Yoyo")),"HDAL",
IF(OR(WEEKDAY(T$16,2)=7,AND(WEEKDAY(T$16,2)=6,SUMPRODUCT(($B$9:$AG$10=IFERROR(VLOOKUP($B18,'On call stat'!$S$3:$T$20,2,FALSE),""))*($B$3:$AG$3=T$16))&gt;0)),"DO",
IF(SUMPRODUCT(($B$9:$AG$10=IFERROR(VLOOKUP($B18,'On call stat'!$S$3:$T$20,2,FALSE),""))*($B$3:$AG$3=T$16))&gt;0,"AL",
IF(WEEKDAY(T$16,2)=6,
IF($B18="Chan, Man Wai","HD",
IF($B18="Ng Suet Ping, Yoko","HD",
IF($B18="Li Mui Ying","HD1",
IF($B18="Huang Huanrao, Yoyo",IF(MOD(T$13,2)=1,"HD2",IFERROR(IF(SUMPRODUCT(($B$3:$AG$3=T$16)*($B$5:$AG$7=VLOOKUP($B18,'On call stat'!$S$3:$T$10,2,FALSE)))&gt;0,"D","DO"),"DO")),
IF($B18="Lee Ka Po, Kathy",IF(MOD(T$13,2)=0,"HD2",IFERROR(IF(SUMPRODUCT(($B$3:$AG$3=T$16)*($B$5:$AG$7=VLOOKUP($B18,'On call stat'!$S$3:$T$10,2,FALSE)))&gt;0,"D","DO"),"DO")),
IF($B18="Fan Hoi Wan, Ivy",IF(MOD(T$13,2)=0,"D",IFERROR(IF(SUMPRODUCT(($B$3:$AG$3=T$16)*($B$5:$AG$7=VLOOKUP($B18,'On call stat'!$S$3:$T$10,2,FALSE)))&gt;0,"D","DO"),"DO")),
IFERROR(IF(SUMPRODUCT(($B$3:$AG$3=T$16)*($B$5:$AG$7=VLOOKUP($B18,'On call stat'!$S$3:$T$10,2,FALSE)))&gt;0,"D","DO"),"DO"))))))),
IF($B18="Huang Huanrao, Yoyo",IF(MOD(T$13,2)=1,"D1","B6"),
IF($B18="Lee Ka Po, Kathy",IF(MOD(T$13,2)=0,"D1","B6"),
IFERROR(IF(SUMPRODUCT(($B$3:$AG$3=T$16)*($B$5:$AG$7=VLOOKUP($B18,'On call stat'!$S$3:$T$10,2,FALSE)))&gt;0,"E","D"),"D"))))))))</f>
        <v>D</v>
      </c>
      <c r="U18" s="40" t="str">
        <f>IF(COUNTIF(PH!$A:$A,U$16)&gt;0,"PH",
IF(AND(SUMPRODUCT(($B$9:$AG$10=IFERROR(VLOOKUP($B18,'On call stat'!$S$3:$T$20,2,FALSE),""))*($B$3:$AG$3=U$16))&gt;0,OR(WEEKDAY(U$16,2)=6,),OR($B18="Chan, Man Wai",$B18="Ng Suet Ping, Yoko",$B18="Li Mui Ying",$B18="Lee Ka Po, Kathy",$B18="Huang Huanrao, Yoyo")),"HDAL",
IF(OR(WEEKDAY(U$16,2)=7,AND(WEEKDAY(U$16,2)=6,SUMPRODUCT(($B$9:$AG$10=IFERROR(VLOOKUP($B18,'On call stat'!$S$3:$T$20,2,FALSE),""))*($B$3:$AG$3=U$16))&gt;0)),"DO",
IF(SUMPRODUCT(($B$9:$AG$10=IFERROR(VLOOKUP($B18,'On call stat'!$S$3:$T$20,2,FALSE),""))*($B$3:$AG$3=U$16))&gt;0,"AL",
IF(WEEKDAY(U$16,2)=6,
IF($B18="Chan, Man Wai","HD",
IF($B18="Ng Suet Ping, Yoko","HD",
IF($B18="Li Mui Ying","HD1",
IF($B18="Huang Huanrao, Yoyo",IF(MOD(U$13,2)=1,"HD2",IFERROR(IF(SUMPRODUCT(($B$3:$AG$3=U$16)*($B$5:$AG$7=VLOOKUP($B18,'On call stat'!$S$3:$T$10,2,FALSE)))&gt;0,"D","DO"),"DO")),
IF($B18="Lee Ka Po, Kathy",IF(MOD(U$13,2)=0,"HD2",IFERROR(IF(SUMPRODUCT(($B$3:$AG$3=U$16)*($B$5:$AG$7=VLOOKUP($B18,'On call stat'!$S$3:$T$10,2,FALSE)))&gt;0,"D","DO"),"DO")),
IF($B18="Fan Hoi Wan, Ivy",IF(MOD(U$13,2)=0,"D",IFERROR(IF(SUMPRODUCT(($B$3:$AG$3=U$16)*($B$5:$AG$7=VLOOKUP($B18,'On call stat'!$S$3:$T$10,2,FALSE)))&gt;0,"D","DO"),"DO")),
IFERROR(IF(SUMPRODUCT(($B$3:$AG$3=U$16)*($B$5:$AG$7=VLOOKUP($B18,'On call stat'!$S$3:$T$10,2,FALSE)))&gt;0,"D","DO"),"DO"))))))),
IF($B18="Huang Huanrao, Yoyo",IF(MOD(U$13,2)=1,"D1","B6"),
IF($B18="Lee Ka Po, Kathy",IF(MOD(U$13,2)=0,"D1","B6"),
IFERROR(IF(SUMPRODUCT(($B$3:$AG$3=U$16)*($B$5:$AG$7=VLOOKUP($B18,'On call stat'!$S$3:$T$10,2,FALSE)))&gt;0,"E","D"),"D"))))))))</f>
        <v>HD</v>
      </c>
      <c r="V18" s="40" t="str">
        <f>IF(COUNTIF(PH!$A:$A,V$16)&gt;0,"PH",
IF(AND(SUMPRODUCT(($B$9:$AG$10=IFERROR(VLOOKUP($B18,'On call stat'!$S$3:$T$20,2,FALSE),""))*($B$3:$AG$3=V$16))&gt;0,OR(WEEKDAY(V$16,2)=6,),OR($B18="Chan, Man Wai",$B18="Ng Suet Ping, Yoko",$B18="Li Mui Ying",$B18="Lee Ka Po, Kathy",$B18="Huang Huanrao, Yoyo")),"HDAL",
IF(OR(WEEKDAY(V$16,2)=7,AND(WEEKDAY(V$16,2)=6,SUMPRODUCT(($B$9:$AG$10=IFERROR(VLOOKUP($B18,'On call stat'!$S$3:$T$20,2,FALSE),""))*($B$3:$AG$3=V$16))&gt;0)),"DO",
IF(SUMPRODUCT(($B$9:$AG$10=IFERROR(VLOOKUP($B18,'On call stat'!$S$3:$T$20,2,FALSE),""))*($B$3:$AG$3=V$16))&gt;0,"AL",
IF(WEEKDAY(V$16,2)=6,
IF($B18="Chan, Man Wai","HD",
IF($B18="Ng Suet Ping, Yoko","HD",
IF($B18="Li Mui Ying","HD1",
IF($B18="Huang Huanrao, Yoyo",IF(MOD(V$13,2)=1,"HD2",IFERROR(IF(SUMPRODUCT(($B$3:$AG$3=V$16)*($B$5:$AG$7=VLOOKUP($B18,'On call stat'!$S$3:$T$10,2,FALSE)))&gt;0,"D","DO"),"DO")),
IF($B18="Lee Ka Po, Kathy",IF(MOD(V$13,2)=0,"HD2",IFERROR(IF(SUMPRODUCT(($B$3:$AG$3=V$16)*($B$5:$AG$7=VLOOKUP($B18,'On call stat'!$S$3:$T$10,2,FALSE)))&gt;0,"D","DO"),"DO")),
IF($B18="Fan Hoi Wan, Ivy",IF(MOD(V$13,2)=0,"D",IFERROR(IF(SUMPRODUCT(($B$3:$AG$3=V$16)*($B$5:$AG$7=VLOOKUP($B18,'On call stat'!$S$3:$T$10,2,FALSE)))&gt;0,"D","DO"),"DO")),
IFERROR(IF(SUMPRODUCT(($B$3:$AG$3=V$16)*($B$5:$AG$7=VLOOKUP($B18,'On call stat'!$S$3:$T$10,2,FALSE)))&gt;0,"D","DO"),"DO"))))))),
IF($B18="Huang Huanrao, Yoyo",IF(MOD(V$13,2)=1,"D1","B6"),
IF($B18="Lee Ka Po, Kathy",IF(MOD(V$13,2)=0,"D1","B6"),
IFERROR(IF(SUMPRODUCT(($B$3:$AG$3=V$16)*($B$5:$AG$7=VLOOKUP($B18,'On call stat'!$S$3:$T$10,2,FALSE)))&gt;0,"E","D"),"D"))))))))</f>
        <v>DO</v>
      </c>
      <c r="W18" s="40" t="str">
        <f>IF(COUNTIF(PH!$A:$A,W$16)&gt;0,"PH",
IF(AND(SUMPRODUCT(($B$9:$AG$10=IFERROR(VLOOKUP($B18,'On call stat'!$S$3:$T$20,2,FALSE),""))*($B$3:$AG$3=W$16))&gt;0,OR(WEEKDAY(W$16,2)=6,),OR($B18="Chan, Man Wai",$B18="Ng Suet Ping, Yoko",$B18="Li Mui Ying",$B18="Lee Ka Po, Kathy",$B18="Huang Huanrao, Yoyo")),"HDAL",
IF(OR(WEEKDAY(W$16,2)=7,AND(WEEKDAY(W$16,2)=6,SUMPRODUCT(($B$9:$AG$10=IFERROR(VLOOKUP($B18,'On call stat'!$S$3:$T$20,2,FALSE),""))*($B$3:$AG$3=W$16))&gt;0)),"DO",
IF(SUMPRODUCT(($B$9:$AG$10=IFERROR(VLOOKUP($B18,'On call stat'!$S$3:$T$20,2,FALSE),""))*($B$3:$AG$3=W$16))&gt;0,"AL",
IF(WEEKDAY(W$16,2)=6,
IF($B18="Chan, Man Wai","HD",
IF($B18="Ng Suet Ping, Yoko","HD",
IF($B18="Li Mui Ying","HD1",
IF($B18="Huang Huanrao, Yoyo",IF(MOD(W$13,2)=1,"HD2",IFERROR(IF(SUMPRODUCT(($B$3:$AG$3=W$16)*($B$5:$AG$7=VLOOKUP($B18,'On call stat'!$S$3:$T$10,2,FALSE)))&gt;0,"D","DO"),"DO")),
IF($B18="Lee Ka Po, Kathy",IF(MOD(W$13,2)=0,"HD2",IFERROR(IF(SUMPRODUCT(($B$3:$AG$3=W$16)*($B$5:$AG$7=VLOOKUP($B18,'On call stat'!$S$3:$T$10,2,FALSE)))&gt;0,"D","DO"),"DO")),
IF($B18="Fan Hoi Wan, Ivy",IF(MOD(W$13,2)=0,"D",IFERROR(IF(SUMPRODUCT(($B$3:$AG$3=W$16)*($B$5:$AG$7=VLOOKUP($B18,'On call stat'!$S$3:$T$10,2,FALSE)))&gt;0,"D","DO"),"DO")),
IFERROR(IF(SUMPRODUCT(($B$3:$AG$3=W$16)*($B$5:$AG$7=VLOOKUP($B18,'On call stat'!$S$3:$T$10,2,FALSE)))&gt;0,"D","DO"),"DO"))))))),
IF($B18="Huang Huanrao, Yoyo",IF(MOD(W$13,2)=1,"D1","B6"),
IF($B18="Lee Ka Po, Kathy",IF(MOD(W$13,2)=0,"D1","B6"),
IFERROR(IF(SUMPRODUCT(($B$3:$AG$3=W$16)*($B$5:$AG$7=VLOOKUP($B18,'On call stat'!$S$3:$T$10,2,FALSE)))&gt;0,"E","D"),"D"))))))))</f>
        <v>D</v>
      </c>
      <c r="X18" s="40" t="str">
        <f>IF(COUNTIF(PH!$A:$A,X$16)&gt;0,"PH",
IF(AND(SUMPRODUCT(($B$9:$AG$10=IFERROR(VLOOKUP($B18,'On call stat'!$S$3:$T$20,2,FALSE),""))*($B$3:$AG$3=X$16))&gt;0,OR(WEEKDAY(X$16,2)=6,),OR($B18="Chan, Man Wai",$B18="Ng Suet Ping, Yoko",$B18="Li Mui Ying",$B18="Lee Ka Po, Kathy",$B18="Huang Huanrao, Yoyo")),"HDAL",
IF(OR(WEEKDAY(X$16,2)=7,AND(WEEKDAY(X$16,2)=6,SUMPRODUCT(($B$9:$AG$10=IFERROR(VLOOKUP($B18,'On call stat'!$S$3:$T$20,2,FALSE),""))*($B$3:$AG$3=X$16))&gt;0)),"DO",
IF(SUMPRODUCT(($B$9:$AG$10=IFERROR(VLOOKUP($B18,'On call stat'!$S$3:$T$20,2,FALSE),""))*($B$3:$AG$3=X$16))&gt;0,"AL",
IF(WEEKDAY(X$16,2)=6,
IF($B18="Chan, Man Wai","HD",
IF($B18="Ng Suet Ping, Yoko","HD",
IF($B18="Li Mui Ying","HD1",
IF($B18="Huang Huanrao, Yoyo",IF(MOD(X$13,2)=1,"HD2",IFERROR(IF(SUMPRODUCT(($B$3:$AG$3=X$16)*($B$5:$AG$7=VLOOKUP($B18,'On call stat'!$S$3:$T$10,2,FALSE)))&gt;0,"D","DO"),"DO")),
IF($B18="Lee Ka Po, Kathy",IF(MOD(X$13,2)=0,"HD2",IFERROR(IF(SUMPRODUCT(($B$3:$AG$3=X$16)*($B$5:$AG$7=VLOOKUP($B18,'On call stat'!$S$3:$T$10,2,FALSE)))&gt;0,"D","DO"),"DO")),
IF($B18="Fan Hoi Wan, Ivy",IF(MOD(X$13,2)=0,"D",IFERROR(IF(SUMPRODUCT(($B$3:$AG$3=X$16)*($B$5:$AG$7=VLOOKUP($B18,'On call stat'!$S$3:$T$10,2,FALSE)))&gt;0,"D","DO"),"DO")),
IFERROR(IF(SUMPRODUCT(($B$3:$AG$3=X$16)*($B$5:$AG$7=VLOOKUP($B18,'On call stat'!$S$3:$T$10,2,FALSE)))&gt;0,"D","DO"),"DO"))))))),
IF($B18="Huang Huanrao, Yoyo",IF(MOD(X$13,2)=1,"D1","B6"),
IF($B18="Lee Ka Po, Kathy",IF(MOD(X$13,2)=0,"D1","B6"),
IFERROR(IF(SUMPRODUCT(($B$3:$AG$3=X$16)*($B$5:$AG$7=VLOOKUP($B18,'On call stat'!$S$3:$T$10,2,FALSE)))&gt;0,"E","D"),"D"))))))))</f>
        <v>D</v>
      </c>
      <c r="Y18" s="40" t="str">
        <f>IF(COUNTIF(PH!$A:$A,Y$16)&gt;0,"PH",
IF(AND(SUMPRODUCT(($B$9:$AG$10=IFERROR(VLOOKUP($B18,'On call stat'!$S$3:$T$20,2,FALSE),""))*($B$3:$AG$3=Y$16))&gt;0,OR(WEEKDAY(Y$16,2)=6,),OR($B18="Chan, Man Wai",$B18="Ng Suet Ping, Yoko",$B18="Li Mui Ying",$B18="Lee Ka Po, Kathy",$B18="Huang Huanrao, Yoyo")),"HDAL",
IF(OR(WEEKDAY(Y$16,2)=7,AND(WEEKDAY(Y$16,2)=6,SUMPRODUCT(($B$9:$AG$10=IFERROR(VLOOKUP($B18,'On call stat'!$S$3:$T$20,2,FALSE),""))*($B$3:$AG$3=Y$16))&gt;0)),"DO",
IF(SUMPRODUCT(($B$9:$AG$10=IFERROR(VLOOKUP($B18,'On call stat'!$S$3:$T$20,2,FALSE),""))*($B$3:$AG$3=Y$16))&gt;0,"AL",
IF(WEEKDAY(Y$16,2)=6,
IF($B18="Chan, Man Wai","HD",
IF($B18="Ng Suet Ping, Yoko","HD",
IF($B18="Li Mui Ying","HD1",
IF($B18="Huang Huanrao, Yoyo",IF(MOD(Y$13,2)=1,"HD2",IFERROR(IF(SUMPRODUCT(($B$3:$AG$3=Y$16)*($B$5:$AG$7=VLOOKUP($B18,'On call stat'!$S$3:$T$10,2,FALSE)))&gt;0,"D","DO"),"DO")),
IF($B18="Lee Ka Po, Kathy",IF(MOD(Y$13,2)=0,"HD2",IFERROR(IF(SUMPRODUCT(($B$3:$AG$3=Y$16)*($B$5:$AG$7=VLOOKUP($B18,'On call stat'!$S$3:$T$10,2,FALSE)))&gt;0,"D","DO"),"DO")),
IF($B18="Fan Hoi Wan, Ivy",IF(MOD(Y$13,2)=0,"D",IFERROR(IF(SUMPRODUCT(($B$3:$AG$3=Y$16)*($B$5:$AG$7=VLOOKUP($B18,'On call stat'!$S$3:$T$10,2,FALSE)))&gt;0,"D","DO"),"DO")),
IFERROR(IF(SUMPRODUCT(($B$3:$AG$3=Y$16)*($B$5:$AG$7=VLOOKUP($B18,'On call stat'!$S$3:$T$10,2,FALSE)))&gt;0,"D","DO"),"DO"))))))),
IF($B18="Huang Huanrao, Yoyo",IF(MOD(Y$13,2)=1,"D1","B6"),
IF($B18="Lee Ka Po, Kathy",IF(MOD(Y$13,2)=0,"D1","B6"),
IFERROR(IF(SUMPRODUCT(($B$3:$AG$3=Y$16)*($B$5:$AG$7=VLOOKUP($B18,'On call stat'!$S$3:$T$10,2,FALSE)))&gt;0,"E","D"),"D"))))))))</f>
        <v>D</v>
      </c>
      <c r="Z18" s="40" t="str">
        <f>IF(COUNTIF(PH!$A:$A,Z$16)&gt;0,"PH",
IF(AND(SUMPRODUCT(($B$9:$AG$10=IFERROR(VLOOKUP($B18,'On call stat'!$S$3:$T$20,2,FALSE),""))*($B$3:$AG$3=Z$16))&gt;0,OR(WEEKDAY(Z$16,2)=6,),OR($B18="Chan, Man Wai",$B18="Ng Suet Ping, Yoko",$B18="Li Mui Ying",$B18="Lee Ka Po, Kathy",$B18="Huang Huanrao, Yoyo")),"HDAL",
IF(OR(WEEKDAY(Z$16,2)=7,AND(WEEKDAY(Z$16,2)=6,SUMPRODUCT(($B$9:$AG$10=IFERROR(VLOOKUP($B18,'On call stat'!$S$3:$T$20,2,FALSE),""))*($B$3:$AG$3=Z$16))&gt;0)),"DO",
IF(SUMPRODUCT(($B$9:$AG$10=IFERROR(VLOOKUP($B18,'On call stat'!$S$3:$T$20,2,FALSE),""))*($B$3:$AG$3=Z$16))&gt;0,"AL",
IF(WEEKDAY(Z$16,2)=6,
IF($B18="Chan, Man Wai","HD",
IF($B18="Ng Suet Ping, Yoko","HD",
IF($B18="Li Mui Ying","HD1",
IF($B18="Huang Huanrao, Yoyo",IF(MOD(Z$13,2)=1,"HD2",IFERROR(IF(SUMPRODUCT(($B$3:$AG$3=Z$16)*($B$5:$AG$7=VLOOKUP($B18,'On call stat'!$S$3:$T$10,2,FALSE)))&gt;0,"D","DO"),"DO")),
IF($B18="Lee Ka Po, Kathy",IF(MOD(Z$13,2)=0,"HD2",IFERROR(IF(SUMPRODUCT(($B$3:$AG$3=Z$16)*($B$5:$AG$7=VLOOKUP($B18,'On call stat'!$S$3:$T$10,2,FALSE)))&gt;0,"D","DO"),"DO")),
IF($B18="Fan Hoi Wan, Ivy",IF(MOD(Z$13,2)=0,"D",IFERROR(IF(SUMPRODUCT(($B$3:$AG$3=Z$16)*($B$5:$AG$7=VLOOKUP($B18,'On call stat'!$S$3:$T$10,2,FALSE)))&gt;0,"D","DO"),"DO")),
IFERROR(IF(SUMPRODUCT(($B$3:$AG$3=Z$16)*($B$5:$AG$7=VLOOKUP($B18,'On call stat'!$S$3:$T$10,2,FALSE)))&gt;0,"D","DO"),"DO"))))))),
IF($B18="Huang Huanrao, Yoyo",IF(MOD(Z$13,2)=1,"D1","B6"),
IF($B18="Lee Ka Po, Kathy",IF(MOD(Z$13,2)=0,"D1","B6"),
IFERROR(IF(SUMPRODUCT(($B$3:$AG$3=Z$16)*($B$5:$AG$7=VLOOKUP($B18,'On call stat'!$S$3:$T$10,2,FALSE)))&gt;0,"E","D"),"D"))))))))</f>
        <v>D</v>
      </c>
      <c r="AA18" s="40" t="str">
        <f>IF(COUNTIF(PH!$A:$A,AA$16)&gt;0,"PH",
IF(AND(SUMPRODUCT(($B$9:$AG$10=IFERROR(VLOOKUP($B18,'On call stat'!$S$3:$T$20,2,FALSE),""))*($B$3:$AG$3=AA$16))&gt;0,OR(WEEKDAY(AA$16,2)=6,),OR($B18="Chan, Man Wai",$B18="Ng Suet Ping, Yoko",$B18="Li Mui Ying",$B18="Lee Ka Po, Kathy",$B18="Huang Huanrao, Yoyo")),"HDAL",
IF(OR(WEEKDAY(AA$16,2)=7,AND(WEEKDAY(AA$16,2)=6,SUMPRODUCT(($B$9:$AG$10=IFERROR(VLOOKUP($B18,'On call stat'!$S$3:$T$20,2,FALSE),""))*($B$3:$AG$3=AA$16))&gt;0)),"DO",
IF(SUMPRODUCT(($B$9:$AG$10=IFERROR(VLOOKUP($B18,'On call stat'!$S$3:$T$20,2,FALSE),""))*($B$3:$AG$3=AA$16))&gt;0,"AL",
IF(WEEKDAY(AA$16,2)=6,
IF($B18="Chan, Man Wai","HD",
IF($B18="Ng Suet Ping, Yoko","HD",
IF($B18="Li Mui Ying","HD1",
IF($B18="Huang Huanrao, Yoyo",IF(MOD(AA$13,2)=1,"HD2",IFERROR(IF(SUMPRODUCT(($B$3:$AG$3=AA$16)*($B$5:$AG$7=VLOOKUP($B18,'On call stat'!$S$3:$T$10,2,FALSE)))&gt;0,"D","DO"),"DO")),
IF($B18="Lee Ka Po, Kathy",IF(MOD(AA$13,2)=0,"HD2",IFERROR(IF(SUMPRODUCT(($B$3:$AG$3=AA$16)*($B$5:$AG$7=VLOOKUP($B18,'On call stat'!$S$3:$T$10,2,FALSE)))&gt;0,"D","DO"),"DO")),
IF($B18="Fan Hoi Wan, Ivy",IF(MOD(AA$13,2)=0,"D",IFERROR(IF(SUMPRODUCT(($B$3:$AG$3=AA$16)*($B$5:$AG$7=VLOOKUP($B18,'On call stat'!$S$3:$T$10,2,FALSE)))&gt;0,"D","DO"),"DO")),
IFERROR(IF(SUMPRODUCT(($B$3:$AG$3=AA$16)*($B$5:$AG$7=VLOOKUP($B18,'On call stat'!$S$3:$T$10,2,FALSE)))&gt;0,"D","DO"),"DO"))))))),
IF($B18="Huang Huanrao, Yoyo",IF(MOD(AA$13,2)=1,"D1","B6"),
IF($B18="Lee Ka Po, Kathy",IF(MOD(AA$13,2)=0,"D1","B6"),
IFERROR(IF(SUMPRODUCT(($B$3:$AG$3=AA$16)*($B$5:$AG$7=VLOOKUP($B18,'On call stat'!$S$3:$T$10,2,FALSE)))&gt;0,"E","D"),"D"))))))))</f>
        <v>PH</v>
      </c>
      <c r="AB18" s="40" t="str">
        <f>IF(COUNTIF(PH!$A:$A,AB$16)&gt;0,"PH",
IF(AND(SUMPRODUCT(($B$9:$AG$10=IFERROR(VLOOKUP($B18,'On call stat'!$S$3:$T$20,2,FALSE),""))*($B$3:$AG$3=AB$16))&gt;0,OR(WEEKDAY(AB$16,2)=6,),OR($B18="Chan, Man Wai",$B18="Ng Suet Ping, Yoko",$B18="Li Mui Ying",$B18="Lee Ka Po, Kathy",$B18="Huang Huanrao, Yoyo")),"HDAL",
IF(OR(WEEKDAY(AB$16,2)=7,AND(WEEKDAY(AB$16,2)=6,SUMPRODUCT(($B$9:$AG$10=IFERROR(VLOOKUP($B18,'On call stat'!$S$3:$T$20,2,FALSE),""))*($B$3:$AG$3=AB$16))&gt;0)),"DO",
IF(SUMPRODUCT(($B$9:$AG$10=IFERROR(VLOOKUP($B18,'On call stat'!$S$3:$T$20,2,FALSE),""))*($B$3:$AG$3=AB$16))&gt;0,"AL",
IF(WEEKDAY(AB$16,2)=6,
IF($B18="Chan, Man Wai","HD",
IF($B18="Ng Suet Ping, Yoko","HD",
IF($B18="Li Mui Ying","HD1",
IF($B18="Huang Huanrao, Yoyo",IF(MOD(AB$13,2)=1,"HD2",IFERROR(IF(SUMPRODUCT(($B$3:$AG$3=AB$16)*($B$5:$AG$7=VLOOKUP($B18,'On call stat'!$S$3:$T$10,2,FALSE)))&gt;0,"D","DO"),"DO")),
IF($B18="Lee Ka Po, Kathy",IF(MOD(AB$13,2)=0,"HD2",IFERROR(IF(SUMPRODUCT(($B$3:$AG$3=AB$16)*($B$5:$AG$7=VLOOKUP($B18,'On call stat'!$S$3:$T$10,2,FALSE)))&gt;0,"D","DO"),"DO")),
IF($B18="Fan Hoi Wan, Ivy",IF(MOD(AB$13,2)=0,"D",IFERROR(IF(SUMPRODUCT(($B$3:$AG$3=AB$16)*($B$5:$AG$7=VLOOKUP($B18,'On call stat'!$S$3:$T$10,2,FALSE)))&gt;0,"D","DO"),"DO")),
IFERROR(IF(SUMPRODUCT(($B$3:$AG$3=AB$16)*($B$5:$AG$7=VLOOKUP($B18,'On call stat'!$S$3:$T$10,2,FALSE)))&gt;0,"D","DO"),"DO"))))))),
IF($B18="Huang Huanrao, Yoyo",IF(MOD(AB$13,2)=1,"D1","B6"),
IF($B18="Lee Ka Po, Kathy",IF(MOD(AB$13,2)=0,"D1","B6"),
IFERROR(IF(SUMPRODUCT(($B$3:$AG$3=AB$16)*($B$5:$AG$7=VLOOKUP($B18,'On call stat'!$S$3:$T$10,2,FALSE)))&gt;0,"E","D"),"D"))))))))</f>
        <v>PH</v>
      </c>
      <c r="AC18" s="40" t="str">
        <f>IF(COUNTIF(PH!$A:$A,AC$16)&gt;0,"PH",
IF(AND(SUMPRODUCT(($B$9:$AG$10=IFERROR(VLOOKUP($B18,'On call stat'!$S$3:$T$20,2,FALSE),""))*($B$3:$AG$3=AC$16))&gt;0,OR(WEEKDAY(AC$16,2)=6,),OR($B18="Chan, Man Wai",$B18="Ng Suet Ping, Yoko",$B18="Li Mui Ying",$B18="Lee Ka Po, Kathy",$B18="Huang Huanrao, Yoyo")),"HDAL",
IF(OR(WEEKDAY(AC$16,2)=7,AND(WEEKDAY(AC$16,2)=6,SUMPRODUCT(($B$9:$AG$10=IFERROR(VLOOKUP($B18,'On call stat'!$S$3:$T$20,2,FALSE),""))*($B$3:$AG$3=AC$16))&gt;0)),"DO",
IF(SUMPRODUCT(($B$9:$AG$10=IFERROR(VLOOKUP($B18,'On call stat'!$S$3:$T$20,2,FALSE),""))*($B$3:$AG$3=AC$16))&gt;0,"AL",
IF(WEEKDAY(AC$16,2)=6,
IF($B18="Chan, Man Wai","HD",
IF($B18="Ng Suet Ping, Yoko","HD",
IF($B18="Li Mui Ying","HD1",
IF($B18="Huang Huanrao, Yoyo",IF(MOD(AC$13,2)=1,"HD2",IFERROR(IF(SUMPRODUCT(($B$3:$AG$3=AC$16)*($B$5:$AG$7=VLOOKUP($B18,'On call stat'!$S$3:$T$10,2,FALSE)))&gt;0,"D","DO"),"DO")),
IF($B18="Lee Ka Po, Kathy",IF(MOD(AC$13,2)=0,"HD2",IFERROR(IF(SUMPRODUCT(($B$3:$AG$3=AC$16)*($B$5:$AG$7=VLOOKUP($B18,'On call stat'!$S$3:$T$10,2,FALSE)))&gt;0,"D","DO"),"DO")),
IF($B18="Fan Hoi Wan, Ivy",IF(MOD(AC$13,2)=0,"D",IFERROR(IF(SUMPRODUCT(($B$3:$AG$3=AC$16)*($B$5:$AG$7=VLOOKUP($B18,'On call stat'!$S$3:$T$10,2,FALSE)))&gt;0,"D","DO"),"DO")),
IFERROR(IF(SUMPRODUCT(($B$3:$AG$3=AC$16)*($B$5:$AG$7=VLOOKUP($B18,'On call stat'!$S$3:$T$10,2,FALSE)))&gt;0,"D","DO"),"DO"))))))),
IF($B18="Huang Huanrao, Yoyo",IF(MOD(AC$13,2)=1,"D1","B6"),
IF($B18="Lee Ka Po, Kathy",IF(MOD(AC$13,2)=0,"D1","B6"),
IFERROR(IF(SUMPRODUCT(($B$3:$AG$3=AC$16)*($B$5:$AG$7=VLOOKUP($B18,'On call stat'!$S$3:$T$10,2,FALSE)))&gt;0,"E","D"),"D"))))))))</f>
        <v>DO</v>
      </c>
      <c r="AD18" s="40" t="str">
        <f>IF(COUNTIF(PH!$A:$A,AD$16)&gt;0,"PH",
IF(AND(SUMPRODUCT(($B$9:$AG$10=IFERROR(VLOOKUP($B18,'On call stat'!$S$3:$T$20,2,FALSE),""))*($B$3:$AG$3=AD$16))&gt;0,OR(WEEKDAY(AD$16,2)=6,),OR($B18="Chan, Man Wai",$B18="Ng Suet Ping, Yoko",$B18="Li Mui Ying",$B18="Lee Ka Po, Kathy",$B18="Huang Huanrao, Yoyo")),"HDAL",
IF(OR(WEEKDAY(AD$16,2)=7,AND(WEEKDAY(AD$16,2)=6,SUMPRODUCT(($B$9:$AG$10=IFERROR(VLOOKUP($B18,'On call stat'!$S$3:$T$20,2,FALSE),""))*($B$3:$AG$3=AD$16))&gt;0)),"DO",
IF(SUMPRODUCT(($B$9:$AG$10=IFERROR(VLOOKUP($B18,'On call stat'!$S$3:$T$20,2,FALSE),""))*($B$3:$AG$3=AD$16))&gt;0,"AL",
IF(WEEKDAY(AD$16,2)=6,
IF($B18="Chan, Man Wai","HD",
IF($B18="Ng Suet Ping, Yoko","HD",
IF($B18="Li Mui Ying","HD1",
IF($B18="Huang Huanrao, Yoyo",IF(MOD(AD$13,2)=1,"HD2",IFERROR(IF(SUMPRODUCT(($B$3:$AG$3=AD$16)*($B$5:$AG$7=VLOOKUP($B18,'On call stat'!$S$3:$T$10,2,FALSE)))&gt;0,"D","DO"),"DO")),
IF($B18="Lee Ka Po, Kathy",IF(MOD(AD$13,2)=0,"HD2",IFERROR(IF(SUMPRODUCT(($B$3:$AG$3=AD$16)*($B$5:$AG$7=VLOOKUP($B18,'On call stat'!$S$3:$T$10,2,FALSE)))&gt;0,"D","DO"),"DO")),
IF($B18="Fan Hoi Wan, Ivy",IF(MOD(AD$13,2)=0,"D",IFERROR(IF(SUMPRODUCT(($B$3:$AG$3=AD$16)*($B$5:$AG$7=VLOOKUP($B18,'On call stat'!$S$3:$T$10,2,FALSE)))&gt;0,"D","DO"),"DO")),
IFERROR(IF(SUMPRODUCT(($B$3:$AG$3=AD$16)*($B$5:$AG$7=VLOOKUP($B18,'On call stat'!$S$3:$T$10,2,FALSE)))&gt;0,"D","DO"),"DO"))))))),
IF($B18="Huang Huanrao, Yoyo",IF(MOD(AD$13,2)=1,"D1","B6"),
IF($B18="Lee Ka Po, Kathy",IF(MOD(AD$13,2)=0,"D1","B6"),
IFERROR(IF(SUMPRODUCT(($B$3:$AG$3=AD$16)*($B$5:$AG$7=VLOOKUP($B18,'On call stat'!$S$3:$T$10,2,FALSE)))&gt;0,"E","D"),"D"))))))))</f>
        <v>D</v>
      </c>
      <c r="AE18" s="40" t="str">
        <f>IF(COUNTIF(PH!$A:$A,AE$16)&gt;0,"PH",
IF(AND(SUMPRODUCT(($B$9:$AG$10=IFERROR(VLOOKUP($B18,'On call stat'!$S$3:$T$20,2,FALSE),""))*($B$3:$AG$3=AE$16))&gt;0,OR(WEEKDAY(AE$16,2)=6,),OR($B18="Chan, Man Wai",$B18="Ng Suet Ping, Yoko",$B18="Li Mui Ying",$B18="Lee Ka Po, Kathy",$B18="Huang Huanrao, Yoyo")),"HDAL",
IF(OR(WEEKDAY(AE$16,2)=7,AND(WEEKDAY(AE$16,2)=6,SUMPRODUCT(($B$9:$AG$10=IFERROR(VLOOKUP($B18,'On call stat'!$S$3:$T$20,2,FALSE),""))*($B$3:$AG$3=AE$16))&gt;0)),"DO",
IF(SUMPRODUCT(($B$9:$AG$10=IFERROR(VLOOKUP($B18,'On call stat'!$S$3:$T$20,2,FALSE),""))*($B$3:$AG$3=AE$16))&gt;0,"AL",
IF(WEEKDAY(AE$16,2)=6,
IF($B18="Chan, Man Wai","HD",
IF($B18="Ng Suet Ping, Yoko","HD",
IF($B18="Li Mui Ying","HD1",
IF($B18="Huang Huanrao, Yoyo",IF(MOD(AE$13,2)=1,"HD2",IFERROR(IF(SUMPRODUCT(($B$3:$AG$3=AE$16)*($B$5:$AG$7=VLOOKUP($B18,'On call stat'!$S$3:$T$10,2,FALSE)))&gt;0,"D","DO"),"DO")),
IF($B18="Lee Ka Po, Kathy",IF(MOD(AE$13,2)=0,"HD2",IFERROR(IF(SUMPRODUCT(($B$3:$AG$3=AE$16)*($B$5:$AG$7=VLOOKUP($B18,'On call stat'!$S$3:$T$10,2,FALSE)))&gt;0,"D","DO"),"DO")),
IF($B18="Fan Hoi Wan, Ivy",IF(MOD(AE$13,2)=0,"D",IFERROR(IF(SUMPRODUCT(($B$3:$AG$3=AE$16)*($B$5:$AG$7=VLOOKUP($B18,'On call stat'!$S$3:$T$10,2,FALSE)))&gt;0,"D","DO"),"DO")),
IFERROR(IF(SUMPRODUCT(($B$3:$AG$3=AE$16)*($B$5:$AG$7=VLOOKUP($B18,'On call stat'!$S$3:$T$10,2,FALSE)))&gt;0,"D","DO"),"DO"))))))),
IF($B18="Huang Huanrao, Yoyo",IF(MOD(AE$13,2)=1,"D1","B6"),
IF($B18="Lee Ka Po, Kathy",IF(MOD(AE$13,2)=0,"D1","B6"),
IFERROR(IF(SUMPRODUCT(($B$3:$AG$3=AE$16)*($B$5:$AG$7=VLOOKUP($B18,'On call stat'!$S$3:$T$10,2,FALSE)))&gt;0,"E","D"),"D"))))))))</f>
        <v>D</v>
      </c>
      <c r="AF18" s="40" t="str">
        <f>IF(COUNTIF(PH!$A:$A,AF$16)&gt;0,"PH",
IF(AND(SUMPRODUCT(($B$9:$AG$10=IFERROR(VLOOKUP($B18,'On call stat'!$S$3:$T$20,2,FALSE),""))*($B$3:$AG$3=AF$16))&gt;0,OR(WEEKDAY(AF$16,2)=6,),OR($B18="Chan, Man Wai",$B18="Ng Suet Ping, Yoko",$B18="Li Mui Ying",$B18="Lee Ka Po, Kathy",$B18="Huang Huanrao, Yoyo")),"HDAL",
IF(OR(WEEKDAY(AF$16,2)=7,AND(WEEKDAY(AF$16,2)=6,SUMPRODUCT(($B$9:$AG$10=IFERROR(VLOOKUP($B18,'On call stat'!$S$3:$T$20,2,FALSE),""))*($B$3:$AG$3=AF$16))&gt;0)),"DO",
IF(SUMPRODUCT(($B$9:$AG$10=IFERROR(VLOOKUP($B18,'On call stat'!$S$3:$T$20,2,FALSE),""))*($B$3:$AG$3=AF$16))&gt;0,"AL",
IF(WEEKDAY(AF$16,2)=6,
IF($B18="Chan, Man Wai","HD",
IF($B18="Ng Suet Ping, Yoko","HD",
IF($B18="Li Mui Ying","HD1",
IF($B18="Huang Huanrao, Yoyo",IF(MOD(AF$13,2)=1,"HD2",IFERROR(IF(SUMPRODUCT(($B$3:$AG$3=AF$16)*($B$5:$AG$7=VLOOKUP($B18,'On call stat'!$S$3:$T$10,2,FALSE)))&gt;0,"D","DO"),"DO")),
IF($B18="Lee Ka Po, Kathy",IF(MOD(AF$13,2)=0,"HD2",IFERROR(IF(SUMPRODUCT(($B$3:$AG$3=AF$16)*($B$5:$AG$7=VLOOKUP($B18,'On call stat'!$S$3:$T$10,2,FALSE)))&gt;0,"D","DO"),"DO")),
IF($B18="Fan Hoi Wan, Ivy",IF(MOD(AF$13,2)=0,"D",IFERROR(IF(SUMPRODUCT(($B$3:$AG$3=AF$16)*($B$5:$AG$7=VLOOKUP($B18,'On call stat'!$S$3:$T$10,2,FALSE)))&gt;0,"D","DO"),"DO")),
IFERROR(IF(SUMPRODUCT(($B$3:$AG$3=AF$16)*($B$5:$AG$7=VLOOKUP($B18,'On call stat'!$S$3:$T$10,2,FALSE)))&gt;0,"D","DO"),"DO"))))))),
IF($B18="Huang Huanrao, Yoyo",IF(MOD(AF$13,2)=1,"D1","B6"),
IF($B18="Lee Ka Po, Kathy",IF(MOD(AF$13,2)=0,"D1","B6"),
IFERROR(IF(SUMPRODUCT(($B$3:$AG$3=AF$16)*($B$5:$AG$7=VLOOKUP($B18,'On call stat'!$S$3:$T$10,2,FALSE)))&gt;0,"E","D"),"D"))))))))</f>
        <v>D</v>
      </c>
      <c r="AG18" s="40" t="str">
        <f>IF(COUNTIF(PH!$A:$A,AG$16)&gt;0,"PH",
IF(AND(SUMPRODUCT(($B$9:$AG$10=IFERROR(VLOOKUP($B18,'On call stat'!$S$3:$T$20,2,FALSE),""))*($B$3:$AG$3=AG$16))&gt;0,OR(WEEKDAY(AG$16,2)=6,),OR($B18="Chan, Man Wai",$B18="Ng Suet Ping, Yoko",$B18="Li Mui Ying",$B18="Lee Ka Po, Kathy",$B18="Huang Huanrao, Yoyo")),"HDAL",
IF(OR(WEEKDAY(AG$16,2)=7,AND(WEEKDAY(AG$16,2)=6,SUMPRODUCT(($B$9:$AG$10=IFERROR(VLOOKUP($B18,'On call stat'!$S$3:$T$20,2,FALSE),""))*($B$3:$AG$3=AG$16))&gt;0)),"DO",
IF(SUMPRODUCT(($B$9:$AG$10=IFERROR(VLOOKUP($B18,'On call stat'!$S$3:$T$20,2,FALSE),""))*($B$3:$AG$3=AG$16))&gt;0,"AL",
IF(WEEKDAY(AG$16,2)=6,
IF($B18="Chan, Man Wai","HD",
IF($B18="Ng Suet Ping, Yoko","HD",
IF($B18="Li Mui Ying","HD1",
IF($B18="Huang Huanrao, Yoyo",IF(MOD(AG$13,2)=1,"HD2",IFERROR(IF(SUMPRODUCT(($B$3:$AG$3=AG$16)*($B$5:$AG$7=VLOOKUP($B18,'On call stat'!$S$3:$T$10,2,FALSE)))&gt;0,"D","DO"),"DO")),
IF($B18="Lee Ka Po, Kathy",IF(MOD(AG$13,2)=0,"HD2",IFERROR(IF(SUMPRODUCT(($B$3:$AG$3=AG$16)*($B$5:$AG$7=VLOOKUP($B18,'On call stat'!$S$3:$T$10,2,FALSE)))&gt;0,"D","DO"),"DO")),
IF($B18="Fan Hoi Wan, Ivy",IF(MOD(AG$13,2)=0,"D",IFERROR(IF(SUMPRODUCT(($B$3:$AG$3=AG$16)*($B$5:$AG$7=VLOOKUP($B18,'On call stat'!$S$3:$T$10,2,FALSE)))&gt;0,"D","DO"),"DO")),
IFERROR(IF(SUMPRODUCT(($B$3:$AG$3=AG$16)*($B$5:$AG$7=VLOOKUP($B18,'On call stat'!$S$3:$T$10,2,FALSE)))&gt;0,"D","DO"),"DO"))))))),
IF($B18="Huang Huanrao, Yoyo",IF(MOD(AG$13,2)=1,"D1","B6"),
IF($B18="Lee Ka Po, Kathy",IF(MOD(AG$13,2)=0,"D1","B6"),
IFERROR(IF(SUMPRODUCT(($B$3:$AG$3=AG$16)*($B$5:$AG$7=VLOOKUP($B18,'On call stat'!$S$3:$T$10,2,FALSE)))&gt;0,"E","D"),"D"))))))))</f>
        <v>D</v>
      </c>
      <c r="AK18" s="11" t="s">
        <v>118</v>
      </c>
      <c r="AL18" s="65">
        <f>SUMPRODUCT((C18:AG18="D")*8) + SUMPRODUCT((C18:AG18="E")*8) + SUMPRODUCT((C18:AG18="HD")*4)</f>
        <v>188</v>
      </c>
      <c r="AM18" s="66" cm="1">
        <f t="array" ref="AM18">SUMPRODUCT((C18:AG18="AL") *  (COUNTIF(PH!$A:$A, C$16:AG$16)=0) *(WEEKDAY(C$16:AG$16,2)&lt;=5) *  8)+SUMPRODUCT((C18:AG18="HDAL") *  (COUNTIF(PH!$A:$A, C$16:AG$16)=0) *(WEEKDAY(C$16:AG$16,2)&lt;=6) *  4)</f>
        <v>0</v>
      </c>
      <c r="AN18" s="68">
        <f>AL18+AM18</f>
        <v>188</v>
      </c>
      <c r="AO18" s="67">
        <f>AN18-$AN$18</f>
        <v>0</v>
      </c>
      <c r="AP18" s="67">
        <f>AO18+Nov!AP18</f>
        <v>0</v>
      </c>
    </row>
    <row r="19" spans="1:42" ht="37.5" customHeight="1" thickBot="1">
      <c r="A19" s="23" t="s">
        <v>53</v>
      </c>
      <c r="B19" s="22" t="s">
        <v>54</v>
      </c>
      <c r="C19" s="40" t="str">
        <f>IF(COUNTIF(PH!$A:$A,C$16)&gt;0,"PH",
IF(AND(SUMPRODUCT(($B$9:$AG$10=IFERROR(VLOOKUP($B19,'On call stat'!$S$3:$T$20,2,FALSE),""))*($B$3:$AG$3=C$16))&gt;0,OR(WEEKDAY(C$16,2)=6,),OR($B19="Chan, Man Wai",$B19="Ng Suet Ping, Yoko",$B19="Li Mui Ying",$B19="Lee Ka Po, Kathy",$B19="Huang Huanrao, Yoyo")),"HDAL",
IF(OR(WEEKDAY(C$16,2)=7,AND(WEEKDAY(C$16,2)=6,SUMPRODUCT(($B$9:$AG$10=IFERROR(VLOOKUP($B19,'On call stat'!$S$3:$T$20,2,FALSE),""))*($B$3:$AG$3=C$16))&gt;0)),"DO",
IF(SUMPRODUCT(($B$9:$AG$10=IFERROR(VLOOKUP($B19,'On call stat'!$S$3:$T$20,2,FALSE),""))*($B$3:$AG$3=C$16))&gt;0,"AL",
IF(WEEKDAY(C$16,2)=6,
IF($B19="Chan, Man Wai","HD",
IF($B19="Ng Suet Ping, Yoko","HD",
IF($B19="Li Mui Ying","HD1",
IF($B19="Huang Huanrao, Yoyo",IF(MOD(C$13,2)=1,"HD2",IFERROR(IF(SUMPRODUCT(($B$3:$AG$3=C$16)*($B$5:$AG$7=VLOOKUP($B19,'On call stat'!$S$3:$T$10,2,FALSE)))&gt;0,"D","DO"),"DO")),
IF($B19="Lee Ka Po, Kathy",IF(MOD(C$13,2)=0,"HD2",IFERROR(IF(SUMPRODUCT(($B$3:$AG$3=C$16)*($B$5:$AG$7=VLOOKUP($B19,'On call stat'!$S$3:$T$10,2,FALSE)))&gt;0,"D","DO"),"DO")),
IF($B19="Fan Hoi Wan, Ivy",IF(MOD(C$13,2)=0,"D",IFERROR(IF(SUMPRODUCT(($B$3:$AG$3=C$16)*($B$5:$AG$7=VLOOKUP($B19,'On call stat'!$S$3:$T$10,2,FALSE)))&gt;0,"D","DO"),"DO")),
IFERROR(IF(SUMPRODUCT(($B$3:$AG$3=C$16)*($B$5:$AG$7=VLOOKUP($B19,'On call stat'!$S$3:$T$10,2,FALSE)))&gt;0,"D","DO"),"DO"))))))),
IF($B19="Huang Huanrao, Yoyo",IF(MOD(C$13,2)=1,"D1","B6"),
IF($B19="Lee Ka Po, Kathy",IF(MOD(C$13,2)=0,"D1","B6"),
IFERROR(IF(SUMPRODUCT(($B$3:$AG$3=C$16)*($B$5:$AG$7=VLOOKUP($B19,'On call stat'!$S$3:$T$10,2,FALSE)))&gt;0,"E","D"),"D"))))))))</f>
        <v>D</v>
      </c>
      <c r="D19" s="40" t="str">
        <f>IF(COUNTIF(PH!$A:$A,D$16)&gt;0,"PH",
IF(AND(SUMPRODUCT(($B$9:$AG$10=IFERROR(VLOOKUP($B19,'On call stat'!$S$3:$T$20,2,FALSE),""))*($B$3:$AG$3=D$16))&gt;0,OR(WEEKDAY(D$16,2)=6,),OR($B19="Chan, Man Wai",$B19="Ng Suet Ping, Yoko",$B19="Li Mui Ying",$B19="Lee Ka Po, Kathy",$B19="Huang Huanrao, Yoyo")),"HDAL",
IF(OR(WEEKDAY(D$16,2)=7,AND(WEEKDAY(D$16,2)=6,SUMPRODUCT(($B$9:$AG$10=IFERROR(VLOOKUP($B19,'On call stat'!$S$3:$T$20,2,FALSE),""))*($B$3:$AG$3=D$16))&gt;0)),"DO",
IF(SUMPRODUCT(($B$9:$AG$10=IFERROR(VLOOKUP($B19,'On call stat'!$S$3:$T$20,2,FALSE),""))*($B$3:$AG$3=D$16))&gt;0,"AL",
IF(WEEKDAY(D$16,2)=6,
IF($B19="Chan, Man Wai","HD",
IF($B19="Ng Suet Ping, Yoko","HD",
IF($B19="Li Mui Ying","HD1",
IF($B19="Huang Huanrao, Yoyo",IF(MOD(D$13,2)=1,"HD2",IFERROR(IF(SUMPRODUCT(($B$3:$AG$3=D$16)*($B$5:$AG$7=VLOOKUP($B19,'On call stat'!$S$3:$T$10,2,FALSE)))&gt;0,"D","DO"),"DO")),
IF($B19="Lee Ka Po, Kathy",IF(MOD(D$13,2)=0,"HD2",IFERROR(IF(SUMPRODUCT(($B$3:$AG$3=D$16)*($B$5:$AG$7=VLOOKUP($B19,'On call stat'!$S$3:$T$10,2,FALSE)))&gt;0,"D","DO"),"DO")),
IF($B19="Fan Hoi Wan, Ivy",IF(MOD(D$13,2)=0,"D",IFERROR(IF(SUMPRODUCT(($B$3:$AG$3=D$16)*($B$5:$AG$7=VLOOKUP($B19,'On call stat'!$S$3:$T$10,2,FALSE)))&gt;0,"D","DO"),"DO")),
IFERROR(IF(SUMPRODUCT(($B$3:$AG$3=D$16)*($B$5:$AG$7=VLOOKUP($B19,'On call stat'!$S$3:$T$10,2,FALSE)))&gt;0,"D","DO"),"DO"))))))),
IF($B19="Huang Huanrao, Yoyo",IF(MOD(D$13,2)=1,"D1","B6"),
IF($B19="Lee Ka Po, Kathy",IF(MOD(D$13,2)=0,"D1","B6"),
IFERROR(IF(SUMPRODUCT(($B$3:$AG$3=D$16)*($B$5:$AG$7=VLOOKUP($B19,'On call stat'!$S$3:$T$10,2,FALSE)))&gt;0,"E","D"),"D"))))))))</f>
        <v>D</v>
      </c>
      <c r="E19" s="40" t="str">
        <f>IF(COUNTIF(PH!$A:$A,E$16)&gt;0,"PH",
IF(AND(SUMPRODUCT(($B$9:$AG$10=IFERROR(VLOOKUP($B19,'On call stat'!$S$3:$T$20,2,FALSE),""))*($B$3:$AG$3=E$16))&gt;0,OR(WEEKDAY(E$16,2)=6,),OR($B19="Chan, Man Wai",$B19="Ng Suet Ping, Yoko",$B19="Li Mui Ying",$B19="Lee Ka Po, Kathy",$B19="Huang Huanrao, Yoyo")),"HDAL",
IF(OR(WEEKDAY(E$16,2)=7,AND(WEEKDAY(E$16,2)=6,SUMPRODUCT(($B$9:$AG$10=IFERROR(VLOOKUP($B19,'On call stat'!$S$3:$T$20,2,FALSE),""))*($B$3:$AG$3=E$16))&gt;0)),"DO",
IF(SUMPRODUCT(($B$9:$AG$10=IFERROR(VLOOKUP($B19,'On call stat'!$S$3:$T$20,2,FALSE),""))*($B$3:$AG$3=E$16))&gt;0,"AL",
IF(WEEKDAY(E$16,2)=6,
IF($B19="Chan, Man Wai","HD",
IF($B19="Ng Suet Ping, Yoko","HD",
IF($B19="Li Mui Ying","HD1",
IF($B19="Huang Huanrao, Yoyo",IF(MOD(E$13,2)=1,"HD2",IFERROR(IF(SUMPRODUCT(($B$3:$AG$3=E$16)*($B$5:$AG$7=VLOOKUP($B19,'On call stat'!$S$3:$T$10,2,FALSE)))&gt;0,"D","DO"),"DO")),
IF($B19="Lee Ka Po, Kathy",IF(MOD(E$13,2)=0,"HD2",IFERROR(IF(SUMPRODUCT(($B$3:$AG$3=E$16)*($B$5:$AG$7=VLOOKUP($B19,'On call stat'!$S$3:$T$10,2,FALSE)))&gt;0,"D","DO"),"DO")),
IF($B19="Fan Hoi Wan, Ivy",IF(MOD(E$13,2)=0,"D",IFERROR(IF(SUMPRODUCT(($B$3:$AG$3=E$16)*($B$5:$AG$7=VLOOKUP($B19,'On call stat'!$S$3:$T$10,2,FALSE)))&gt;0,"D","DO"),"DO")),
IFERROR(IF(SUMPRODUCT(($B$3:$AG$3=E$16)*($B$5:$AG$7=VLOOKUP($B19,'On call stat'!$S$3:$T$10,2,FALSE)))&gt;0,"D","DO"),"DO"))))))),
IF($B19="Huang Huanrao, Yoyo",IF(MOD(E$13,2)=1,"D1","B6"),
IF($B19="Lee Ka Po, Kathy",IF(MOD(E$13,2)=0,"D1","B6"),
IFERROR(IF(SUMPRODUCT(($B$3:$AG$3=E$16)*($B$5:$AG$7=VLOOKUP($B19,'On call stat'!$S$3:$T$10,2,FALSE)))&gt;0,"E","D"),"D"))))))))</f>
        <v>D</v>
      </c>
      <c r="F19" s="40" t="str">
        <f>IF(COUNTIF(PH!$A:$A,F$16)&gt;0,"PH",
IF(AND(SUMPRODUCT(($B$9:$AG$10=IFERROR(VLOOKUP($B19,'On call stat'!$S$3:$T$20,2,FALSE),""))*($B$3:$AG$3=F$16))&gt;0,OR(WEEKDAY(F$16,2)=6,),OR($B19="Chan, Man Wai",$B19="Ng Suet Ping, Yoko",$B19="Li Mui Ying",$B19="Lee Ka Po, Kathy",$B19="Huang Huanrao, Yoyo")),"HDAL",
IF(OR(WEEKDAY(F$16,2)=7,AND(WEEKDAY(F$16,2)=6,SUMPRODUCT(($B$9:$AG$10=IFERROR(VLOOKUP($B19,'On call stat'!$S$3:$T$20,2,FALSE),""))*($B$3:$AG$3=F$16))&gt;0)),"DO",
IF(SUMPRODUCT(($B$9:$AG$10=IFERROR(VLOOKUP($B19,'On call stat'!$S$3:$T$20,2,FALSE),""))*($B$3:$AG$3=F$16))&gt;0,"AL",
IF(WEEKDAY(F$16,2)=6,
IF($B19="Chan, Man Wai","HD",
IF($B19="Ng Suet Ping, Yoko","HD",
IF($B19="Li Mui Ying","HD1",
IF($B19="Huang Huanrao, Yoyo",IF(MOD(F$13,2)=1,"HD2",IFERROR(IF(SUMPRODUCT(($B$3:$AG$3=F$16)*($B$5:$AG$7=VLOOKUP($B19,'On call stat'!$S$3:$T$10,2,FALSE)))&gt;0,"D","DO"),"DO")),
IF($B19="Lee Ka Po, Kathy",IF(MOD(F$13,2)=0,"HD2",IFERROR(IF(SUMPRODUCT(($B$3:$AG$3=F$16)*($B$5:$AG$7=VLOOKUP($B19,'On call stat'!$S$3:$T$10,2,FALSE)))&gt;0,"D","DO"),"DO")),
IF($B19="Fan Hoi Wan, Ivy",IF(MOD(F$13,2)=0,"D",IFERROR(IF(SUMPRODUCT(($B$3:$AG$3=F$16)*($B$5:$AG$7=VLOOKUP($B19,'On call stat'!$S$3:$T$10,2,FALSE)))&gt;0,"D","DO"),"DO")),
IFERROR(IF(SUMPRODUCT(($B$3:$AG$3=F$16)*($B$5:$AG$7=VLOOKUP($B19,'On call stat'!$S$3:$T$10,2,FALSE)))&gt;0,"D","DO"),"DO"))))))),
IF($B19="Huang Huanrao, Yoyo",IF(MOD(F$13,2)=1,"D1","B6"),
IF($B19="Lee Ka Po, Kathy",IF(MOD(F$13,2)=0,"D1","B6"),
IFERROR(IF(SUMPRODUCT(($B$3:$AG$3=F$16)*($B$5:$AG$7=VLOOKUP($B19,'On call stat'!$S$3:$T$10,2,FALSE)))&gt;0,"E","D"),"D"))))))))</f>
        <v>D</v>
      </c>
      <c r="G19" s="40" t="str">
        <f>IF(COUNTIF(PH!$A:$A,G$16)&gt;0,"PH",
IF(AND(SUMPRODUCT(($B$9:$AG$10=IFERROR(VLOOKUP($B19,'On call stat'!$S$3:$T$20,2,FALSE),""))*($B$3:$AG$3=G$16))&gt;0,OR(WEEKDAY(G$16,2)=6,),OR($B19="Chan, Man Wai",$B19="Ng Suet Ping, Yoko",$B19="Li Mui Ying",$B19="Lee Ka Po, Kathy",$B19="Huang Huanrao, Yoyo")),"HDAL",
IF(OR(WEEKDAY(G$16,2)=7,AND(WEEKDAY(G$16,2)=6,SUMPRODUCT(($B$9:$AG$10=IFERROR(VLOOKUP($B19,'On call stat'!$S$3:$T$20,2,FALSE),""))*($B$3:$AG$3=G$16))&gt;0)),"DO",
IF(SUMPRODUCT(($B$9:$AG$10=IFERROR(VLOOKUP($B19,'On call stat'!$S$3:$T$20,2,FALSE),""))*($B$3:$AG$3=G$16))&gt;0,"AL",
IF(WEEKDAY(G$16,2)=6,
IF($B19="Chan, Man Wai","HD",
IF($B19="Ng Suet Ping, Yoko","HD",
IF($B19="Li Mui Ying","HD1",
IF($B19="Huang Huanrao, Yoyo",IF(MOD(G$13,2)=1,"HD2",IFERROR(IF(SUMPRODUCT(($B$3:$AG$3=G$16)*($B$5:$AG$7=VLOOKUP($B19,'On call stat'!$S$3:$T$10,2,FALSE)))&gt;0,"D","DO"),"DO")),
IF($B19="Lee Ka Po, Kathy",IF(MOD(G$13,2)=0,"HD2",IFERROR(IF(SUMPRODUCT(($B$3:$AG$3=G$16)*($B$5:$AG$7=VLOOKUP($B19,'On call stat'!$S$3:$T$10,2,FALSE)))&gt;0,"D","DO"),"DO")),
IF($B19="Fan Hoi Wan, Ivy",IF(MOD(G$13,2)=0,"D",IFERROR(IF(SUMPRODUCT(($B$3:$AG$3=G$16)*($B$5:$AG$7=VLOOKUP($B19,'On call stat'!$S$3:$T$10,2,FALSE)))&gt;0,"D","DO"),"DO")),
IFERROR(IF(SUMPRODUCT(($B$3:$AG$3=G$16)*($B$5:$AG$7=VLOOKUP($B19,'On call stat'!$S$3:$T$10,2,FALSE)))&gt;0,"D","DO"),"DO"))))))),
IF($B19="Huang Huanrao, Yoyo",IF(MOD(G$13,2)=1,"D1","B6"),
IF($B19="Lee Ka Po, Kathy",IF(MOD(G$13,2)=0,"D1","B6"),
IFERROR(IF(SUMPRODUCT(($B$3:$AG$3=G$16)*($B$5:$AG$7=VLOOKUP($B19,'On call stat'!$S$3:$T$10,2,FALSE)))&gt;0,"E","D"),"D"))))))))</f>
        <v>DO</v>
      </c>
      <c r="H19" s="40" t="str">
        <f>IF(COUNTIF(PH!$A:$A,H$16)&gt;0,"PH",
IF(AND(SUMPRODUCT(($B$9:$AG$10=IFERROR(VLOOKUP($B19,'On call stat'!$S$3:$T$20,2,FALSE),""))*($B$3:$AG$3=H$16))&gt;0,OR(WEEKDAY(H$16,2)=6,),OR($B19="Chan, Man Wai",$B19="Ng Suet Ping, Yoko",$B19="Li Mui Ying",$B19="Lee Ka Po, Kathy",$B19="Huang Huanrao, Yoyo")),"HDAL",
IF(OR(WEEKDAY(H$16,2)=7,AND(WEEKDAY(H$16,2)=6,SUMPRODUCT(($B$9:$AG$10=IFERROR(VLOOKUP($B19,'On call stat'!$S$3:$T$20,2,FALSE),""))*($B$3:$AG$3=H$16))&gt;0)),"DO",
IF(SUMPRODUCT(($B$9:$AG$10=IFERROR(VLOOKUP($B19,'On call stat'!$S$3:$T$20,2,FALSE),""))*($B$3:$AG$3=H$16))&gt;0,"AL",
IF(WEEKDAY(H$16,2)=6,
IF($B19="Chan, Man Wai","HD",
IF($B19="Ng Suet Ping, Yoko","HD",
IF($B19="Li Mui Ying","HD1",
IF($B19="Huang Huanrao, Yoyo",IF(MOD(H$13,2)=1,"HD2",IFERROR(IF(SUMPRODUCT(($B$3:$AG$3=H$16)*($B$5:$AG$7=VLOOKUP($B19,'On call stat'!$S$3:$T$10,2,FALSE)))&gt;0,"D","DO"),"DO")),
IF($B19="Lee Ka Po, Kathy",IF(MOD(H$13,2)=0,"HD2",IFERROR(IF(SUMPRODUCT(($B$3:$AG$3=H$16)*($B$5:$AG$7=VLOOKUP($B19,'On call stat'!$S$3:$T$10,2,FALSE)))&gt;0,"D","DO"),"DO")),
IF($B19="Fan Hoi Wan, Ivy",IF(MOD(H$13,2)=0,"D",IFERROR(IF(SUMPRODUCT(($B$3:$AG$3=H$16)*($B$5:$AG$7=VLOOKUP($B19,'On call stat'!$S$3:$T$10,2,FALSE)))&gt;0,"D","DO"),"DO")),
IFERROR(IF(SUMPRODUCT(($B$3:$AG$3=H$16)*($B$5:$AG$7=VLOOKUP($B19,'On call stat'!$S$3:$T$10,2,FALSE)))&gt;0,"D","DO"),"DO"))))))),
IF($B19="Huang Huanrao, Yoyo",IF(MOD(H$13,2)=1,"D1","B6"),
IF($B19="Lee Ka Po, Kathy",IF(MOD(H$13,2)=0,"D1","B6"),
IFERROR(IF(SUMPRODUCT(($B$3:$AG$3=H$16)*($B$5:$AG$7=VLOOKUP($B19,'On call stat'!$S$3:$T$10,2,FALSE)))&gt;0,"E","D"),"D"))))))))</f>
        <v>DO</v>
      </c>
      <c r="I19" s="40" t="str">
        <f>IF(COUNTIF(PH!$A:$A,I$16)&gt;0,"PH",
IF(AND(SUMPRODUCT(($B$9:$AG$10=IFERROR(VLOOKUP($B19,'On call stat'!$S$3:$T$20,2,FALSE),""))*($B$3:$AG$3=I$16))&gt;0,OR(WEEKDAY(I$16,2)=6,),OR($B19="Chan, Man Wai",$B19="Ng Suet Ping, Yoko",$B19="Li Mui Ying",$B19="Lee Ka Po, Kathy",$B19="Huang Huanrao, Yoyo")),"HDAL",
IF(OR(WEEKDAY(I$16,2)=7,AND(WEEKDAY(I$16,2)=6,SUMPRODUCT(($B$9:$AG$10=IFERROR(VLOOKUP($B19,'On call stat'!$S$3:$T$20,2,FALSE),""))*($B$3:$AG$3=I$16))&gt;0)),"DO",
IF(SUMPRODUCT(($B$9:$AG$10=IFERROR(VLOOKUP($B19,'On call stat'!$S$3:$T$20,2,FALSE),""))*($B$3:$AG$3=I$16))&gt;0,"AL",
IF(WEEKDAY(I$16,2)=6,
IF($B19="Chan, Man Wai","HD",
IF($B19="Ng Suet Ping, Yoko","HD",
IF($B19="Li Mui Ying","HD1",
IF($B19="Huang Huanrao, Yoyo",IF(MOD(I$13,2)=1,"HD2",IFERROR(IF(SUMPRODUCT(($B$3:$AG$3=I$16)*($B$5:$AG$7=VLOOKUP($B19,'On call stat'!$S$3:$T$10,2,FALSE)))&gt;0,"D","DO"),"DO")),
IF($B19="Lee Ka Po, Kathy",IF(MOD(I$13,2)=0,"HD2",IFERROR(IF(SUMPRODUCT(($B$3:$AG$3=I$16)*($B$5:$AG$7=VLOOKUP($B19,'On call stat'!$S$3:$T$10,2,FALSE)))&gt;0,"D","DO"),"DO")),
IF($B19="Fan Hoi Wan, Ivy",IF(MOD(I$13,2)=0,"D",IFERROR(IF(SUMPRODUCT(($B$3:$AG$3=I$16)*($B$5:$AG$7=VLOOKUP($B19,'On call stat'!$S$3:$T$10,2,FALSE)))&gt;0,"D","DO"),"DO")),
IFERROR(IF(SUMPRODUCT(($B$3:$AG$3=I$16)*($B$5:$AG$7=VLOOKUP($B19,'On call stat'!$S$3:$T$10,2,FALSE)))&gt;0,"D","DO"),"DO"))))))),
IF($B19="Huang Huanrao, Yoyo",IF(MOD(I$13,2)=1,"D1","B6"),
IF($B19="Lee Ka Po, Kathy",IF(MOD(I$13,2)=0,"D1","B6"),
IFERROR(IF(SUMPRODUCT(($B$3:$AG$3=I$16)*($B$5:$AG$7=VLOOKUP($B19,'On call stat'!$S$3:$T$10,2,FALSE)))&gt;0,"E","D"),"D"))))))))</f>
        <v>D</v>
      </c>
      <c r="J19" s="40" t="str">
        <f>IF(COUNTIF(PH!$A:$A,J$16)&gt;0,"PH",
IF(AND(SUMPRODUCT(($B$9:$AG$10=IFERROR(VLOOKUP($B19,'On call stat'!$S$3:$T$20,2,FALSE),""))*($B$3:$AG$3=J$16))&gt;0,OR(WEEKDAY(J$16,2)=6,),OR($B19="Chan, Man Wai",$B19="Ng Suet Ping, Yoko",$B19="Li Mui Ying",$B19="Lee Ka Po, Kathy",$B19="Huang Huanrao, Yoyo")),"HDAL",
IF(OR(WEEKDAY(J$16,2)=7,AND(WEEKDAY(J$16,2)=6,SUMPRODUCT(($B$9:$AG$10=IFERROR(VLOOKUP($B19,'On call stat'!$S$3:$T$20,2,FALSE),""))*($B$3:$AG$3=J$16))&gt;0)),"DO",
IF(SUMPRODUCT(($B$9:$AG$10=IFERROR(VLOOKUP($B19,'On call stat'!$S$3:$T$20,2,FALSE),""))*($B$3:$AG$3=J$16))&gt;0,"AL",
IF(WEEKDAY(J$16,2)=6,
IF($B19="Chan, Man Wai","HD",
IF($B19="Ng Suet Ping, Yoko","HD",
IF($B19="Li Mui Ying","HD1",
IF($B19="Huang Huanrao, Yoyo",IF(MOD(J$13,2)=1,"HD2",IFERROR(IF(SUMPRODUCT(($B$3:$AG$3=J$16)*($B$5:$AG$7=VLOOKUP($B19,'On call stat'!$S$3:$T$10,2,FALSE)))&gt;0,"D","DO"),"DO")),
IF($B19="Lee Ka Po, Kathy",IF(MOD(J$13,2)=0,"HD2",IFERROR(IF(SUMPRODUCT(($B$3:$AG$3=J$16)*($B$5:$AG$7=VLOOKUP($B19,'On call stat'!$S$3:$T$10,2,FALSE)))&gt;0,"D","DO"),"DO")),
IF($B19="Fan Hoi Wan, Ivy",IF(MOD(J$13,2)=0,"D",IFERROR(IF(SUMPRODUCT(($B$3:$AG$3=J$16)*($B$5:$AG$7=VLOOKUP($B19,'On call stat'!$S$3:$T$10,2,FALSE)))&gt;0,"D","DO"),"DO")),
IFERROR(IF(SUMPRODUCT(($B$3:$AG$3=J$16)*($B$5:$AG$7=VLOOKUP($B19,'On call stat'!$S$3:$T$10,2,FALSE)))&gt;0,"D","DO"),"DO"))))))),
IF($B19="Huang Huanrao, Yoyo",IF(MOD(J$13,2)=1,"D1","B6"),
IF($B19="Lee Ka Po, Kathy",IF(MOD(J$13,2)=0,"D1","B6"),
IFERROR(IF(SUMPRODUCT(($B$3:$AG$3=J$16)*($B$5:$AG$7=VLOOKUP($B19,'On call stat'!$S$3:$T$10,2,FALSE)))&gt;0,"E","D"),"D"))))))))</f>
        <v>D</v>
      </c>
      <c r="K19" s="40" t="str">
        <f>IF(COUNTIF(PH!$A:$A,K$16)&gt;0,"PH",
IF(AND(SUMPRODUCT(($B$9:$AG$10=IFERROR(VLOOKUP($B19,'On call stat'!$S$3:$T$20,2,FALSE),""))*($B$3:$AG$3=K$16))&gt;0,OR(WEEKDAY(K$16,2)=6,),OR($B19="Chan, Man Wai",$B19="Ng Suet Ping, Yoko",$B19="Li Mui Ying",$B19="Lee Ka Po, Kathy",$B19="Huang Huanrao, Yoyo")),"HDAL",
IF(OR(WEEKDAY(K$16,2)=7,AND(WEEKDAY(K$16,2)=6,SUMPRODUCT(($B$9:$AG$10=IFERROR(VLOOKUP($B19,'On call stat'!$S$3:$T$20,2,FALSE),""))*($B$3:$AG$3=K$16))&gt;0)),"DO",
IF(SUMPRODUCT(($B$9:$AG$10=IFERROR(VLOOKUP($B19,'On call stat'!$S$3:$T$20,2,FALSE),""))*($B$3:$AG$3=K$16))&gt;0,"AL",
IF(WEEKDAY(K$16,2)=6,
IF($B19="Chan, Man Wai","HD",
IF($B19="Ng Suet Ping, Yoko","HD",
IF($B19="Li Mui Ying","HD1",
IF($B19="Huang Huanrao, Yoyo",IF(MOD(K$13,2)=1,"HD2",IFERROR(IF(SUMPRODUCT(($B$3:$AG$3=K$16)*($B$5:$AG$7=VLOOKUP($B19,'On call stat'!$S$3:$T$10,2,FALSE)))&gt;0,"D","DO"),"DO")),
IF($B19="Lee Ka Po, Kathy",IF(MOD(K$13,2)=0,"HD2",IFERROR(IF(SUMPRODUCT(($B$3:$AG$3=K$16)*($B$5:$AG$7=VLOOKUP($B19,'On call stat'!$S$3:$T$10,2,FALSE)))&gt;0,"D","DO"),"DO")),
IF($B19="Fan Hoi Wan, Ivy",IF(MOD(K$13,2)=0,"D",IFERROR(IF(SUMPRODUCT(($B$3:$AG$3=K$16)*($B$5:$AG$7=VLOOKUP($B19,'On call stat'!$S$3:$T$10,2,FALSE)))&gt;0,"D","DO"),"DO")),
IFERROR(IF(SUMPRODUCT(($B$3:$AG$3=K$16)*($B$5:$AG$7=VLOOKUP($B19,'On call stat'!$S$3:$T$10,2,FALSE)))&gt;0,"D","DO"),"DO"))))))),
IF($B19="Huang Huanrao, Yoyo",IF(MOD(K$13,2)=1,"D1","B6"),
IF($B19="Lee Ka Po, Kathy",IF(MOD(K$13,2)=0,"D1","B6"),
IFERROR(IF(SUMPRODUCT(($B$3:$AG$3=K$16)*($B$5:$AG$7=VLOOKUP($B19,'On call stat'!$S$3:$T$10,2,FALSE)))&gt;0,"E","D"),"D"))))))))</f>
        <v>D</v>
      </c>
      <c r="L19" s="40" t="str">
        <f>IF(COUNTIF(PH!$A:$A,L$16)&gt;0,"PH",
IF(AND(SUMPRODUCT(($B$9:$AG$10=IFERROR(VLOOKUP($B19,'On call stat'!$S$3:$T$20,2,FALSE),""))*($B$3:$AG$3=L$16))&gt;0,OR(WEEKDAY(L$16,2)=6,),OR($B19="Chan, Man Wai",$B19="Ng Suet Ping, Yoko",$B19="Li Mui Ying",$B19="Lee Ka Po, Kathy",$B19="Huang Huanrao, Yoyo")),"HDAL",
IF(OR(WEEKDAY(L$16,2)=7,AND(WEEKDAY(L$16,2)=6,SUMPRODUCT(($B$9:$AG$10=IFERROR(VLOOKUP($B19,'On call stat'!$S$3:$T$20,2,FALSE),""))*($B$3:$AG$3=L$16))&gt;0)),"DO",
IF(SUMPRODUCT(($B$9:$AG$10=IFERROR(VLOOKUP($B19,'On call stat'!$S$3:$T$20,2,FALSE),""))*($B$3:$AG$3=L$16))&gt;0,"AL",
IF(WEEKDAY(L$16,2)=6,
IF($B19="Chan, Man Wai","HD",
IF($B19="Ng Suet Ping, Yoko","HD",
IF($B19="Li Mui Ying","HD1",
IF($B19="Huang Huanrao, Yoyo",IF(MOD(L$13,2)=1,"HD2",IFERROR(IF(SUMPRODUCT(($B$3:$AG$3=L$16)*($B$5:$AG$7=VLOOKUP($B19,'On call stat'!$S$3:$T$10,2,FALSE)))&gt;0,"D","DO"),"DO")),
IF($B19="Lee Ka Po, Kathy",IF(MOD(L$13,2)=0,"HD2",IFERROR(IF(SUMPRODUCT(($B$3:$AG$3=L$16)*($B$5:$AG$7=VLOOKUP($B19,'On call stat'!$S$3:$T$10,2,FALSE)))&gt;0,"D","DO"),"DO")),
IF($B19="Fan Hoi Wan, Ivy",IF(MOD(L$13,2)=0,"D",IFERROR(IF(SUMPRODUCT(($B$3:$AG$3=L$16)*($B$5:$AG$7=VLOOKUP($B19,'On call stat'!$S$3:$T$10,2,FALSE)))&gt;0,"D","DO"),"DO")),
IFERROR(IF(SUMPRODUCT(($B$3:$AG$3=L$16)*($B$5:$AG$7=VLOOKUP($B19,'On call stat'!$S$3:$T$10,2,FALSE)))&gt;0,"D","DO"),"DO"))))))),
IF($B19="Huang Huanrao, Yoyo",IF(MOD(L$13,2)=1,"D1","B6"),
IF($B19="Lee Ka Po, Kathy",IF(MOD(L$13,2)=0,"D1","B6"),
IFERROR(IF(SUMPRODUCT(($B$3:$AG$3=L$16)*($B$5:$AG$7=VLOOKUP($B19,'On call stat'!$S$3:$T$10,2,FALSE)))&gt;0,"E","D"),"D"))))))))</f>
        <v>D</v>
      </c>
      <c r="M19" s="40" t="str">
        <f>IF(COUNTIF(PH!$A:$A,M$16)&gt;0,"PH",
IF(AND(SUMPRODUCT(($B$9:$AG$10=IFERROR(VLOOKUP($B19,'On call stat'!$S$3:$T$20,2,FALSE),""))*($B$3:$AG$3=M$16))&gt;0,OR(WEEKDAY(M$16,2)=6,),OR($B19="Chan, Man Wai",$B19="Ng Suet Ping, Yoko",$B19="Li Mui Ying",$B19="Lee Ka Po, Kathy",$B19="Huang Huanrao, Yoyo")),"HDAL",
IF(OR(WEEKDAY(M$16,2)=7,AND(WEEKDAY(M$16,2)=6,SUMPRODUCT(($B$9:$AG$10=IFERROR(VLOOKUP($B19,'On call stat'!$S$3:$T$20,2,FALSE),""))*($B$3:$AG$3=M$16))&gt;0)),"DO",
IF(SUMPRODUCT(($B$9:$AG$10=IFERROR(VLOOKUP($B19,'On call stat'!$S$3:$T$20,2,FALSE),""))*($B$3:$AG$3=M$16))&gt;0,"AL",
IF(WEEKDAY(M$16,2)=6,
IF($B19="Chan, Man Wai","HD",
IF($B19="Ng Suet Ping, Yoko","HD",
IF($B19="Li Mui Ying","HD1",
IF($B19="Huang Huanrao, Yoyo",IF(MOD(M$13,2)=1,"HD2",IFERROR(IF(SUMPRODUCT(($B$3:$AG$3=M$16)*($B$5:$AG$7=VLOOKUP($B19,'On call stat'!$S$3:$T$10,2,FALSE)))&gt;0,"D","DO"),"DO")),
IF($B19="Lee Ka Po, Kathy",IF(MOD(M$13,2)=0,"HD2",IFERROR(IF(SUMPRODUCT(($B$3:$AG$3=M$16)*($B$5:$AG$7=VLOOKUP($B19,'On call stat'!$S$3:$T$10,2,FALSE)))&gt;0,"D","DO"),"DO")),
IF($B19="Fan Hoi Wan, Ivy",IF(MOD(M$13,2)=0,"D",IFERROR(IF(SUMPRODUCT(($B$3:$AG$3=M$16)*($B$5:$AG$7=VLOOKUP($B19,'On call stat'!$S$3:$T$10,2,FALSE)))&gt;0,"D","DO"),"DO")),
IFERROR(IF(SUMPRODUCT(($B$3:$AG$3=M$16)*($B$5:$AG$7=VLOOKUP($B19,'On call stat'!$S$3:$T$10,2,FALSE)))&gt;0,"D","DO"),"DO"))))))),
IF($B19="Huang Huanrao, Yoyo",IF(MOD(M$13,2)=1,"D1","B6"),
IF($B19="Lee Ka Po, Kathy",IF(MOD(M$13,2)=0,"D1","B6"),
IFERROR(IF(SUMPRODUCT(($B$3:$AG$3=M$16)*($B$5:$AG$7=VLOOKUP($B19,'On call stat'!$S$3:$T$10,2,FALSE)))&gt;0,"E","D"),"D"))))))))</f>
        <v>D</v>
      </c>
      <c r="N19" s="40" t="str">
        <f>IF(COUNTIF(PH!$A:$A,N$16)&gt;0,"PH",
IF(AND(SUMPRODUCT(($B$9:$AG$10=IFERROR(VLOOKUP($B19,'On call stat'!$S$3:$T$20,2,FALSE),""))*($B$3:$AG$3=N$16))&gt;0,OR(WEEKDAY(N$16,2)=6,),OR($B19="Chan, Man Wai",$B19="Ng Suet Ping, Yoko",$B19="Li Mui Ying",$B19="Lee Ka Po, Kathy",$B19="Huang Huanrao, Yoyo")),"HDAL",
IF(OR(WEEKDAY(N$16,2)=7,AND(WEEKDAY(N$16,2)=6,SUMPRODUCT(($B$9:$AG$10=IFERROR(VLOOKUP($B19,'On call stat'!$S$3:$T$20,2,FALSE),""))*($B$3:$AG$3=N$16))&gt;0)),"DO",
IF(SUMPRODUCT(($B$9:$AG$10=IFERROR(VLOOKUP($B19,'On call stat'!$S$3:$T$20,2,FALSE),""))*($B$3:$AG$3=N$16))&gt;0,"AL",
IF(WEEKDAY(N$16,2)=6,
IF($B19="Chan, Man Wai","HD",
IF($B19="Ng Suet Ping, Yoko","HD",
IF($B19="Li Mui Ying","HD1",
IF($B19="Huang Huanrao, Yoyo",IF(MOD(N$13,2)=1,"HD2",IFERROR(IF(SUMPRODUCT(($B$3:$AG$3=N$16)*($B$5:$AG$7=VLOOKUP($B19,'On call stat'!$S$3:$T$10,2,FALSE)))&gt;0,"D","DO"),"DO")),
IF($B19="Lee Ka Po, Kathy",IF(MOD(N$13,2)=0,"HD2",IFERROR(IF(SUMPRODUCT(($B$3:$AG$3=N$16)*($B$5:$AG$7=VLOOKUP($B19,'On call stat'!$S$3:$T$10,2,FALSE)))&gt;0,"D","DO"),"DO")),
IF($B19="Fan Hoi Wan, Ivy",IF(MOD(N$13,2)=0,"D",IFERROR(IF(SUMPRODUCT(($B$3:$AG$3=N$16)*($B$5:$AG$7=VLOOKUP($B19,'On call stat'!$S$3:$T$10,2,FALSE)))&gt;0,"D","DO"),"DO")),
IFERROR(IF(SUMPRODUCT(($B$3:$AG$3=N$16)*($B$5:$AG$7=VLOOKUP($B19,'On call stat'!$S$3:$T$10,2,FALSE)))&gt;0,"D","DO"),"DO"))))))),
IF($B19="Huang Huanrao, Yoyo",IF(MOD(N$13,2)=1,"D1","B6"),
IF($B19="Lee Ka Po, Kathy",IF(MOD(N$13,2)=0,"D1","B6"),
IFERROR(IF(SUMPRODUCT(($B$3:$AG$3=N$16)*($B$5:$AG$7=VLOOKUP($B19,'On call stat'!$S$3:$T$10,2,FALSE)))&gt;0,"E","D"),"D"))))))))</f>
        <v>D</v>
      </c>
      <c r="O19" s="40" t="str">
        <f>IF(COUNTIF(PH!$A:$A,O$16)&gt;0,"PH",
IF(AND(SUMPRODUCT(($B$9:$AG$10=IFERROR(VLOOKUP($B19,'On call stat'!$S$3:$T$20,2,FALSE),""))*($B$3:$AG$3=O$16))&gt;0,OR(WEEKDAY(O$16,2)=6,),OR($B19="Chan, Man Wai",$B19="Ng Suet Ping, Yoko",$B19="Li Mui Ying",$B19="Lee Ka Po, Kathy",$B19="Huang Huanrao, Yoyo")),"HDAL",
IF(OR(WEEKDAY(O$16,2)=7,AND(WEEKDAY(O$16,2)=6,SUMPRODUCT(($B$9:$AG$10=IFERROR(VLOOKUP($B19,'On call stat'!$S$3:$T$20,2,FALSE),""))*($B$3:$AG$3=O$16))&gt;0)),"DO",
IF(SUMPRODUCT(($B$9:$AG$10=IFERROR(VLOOKUP($B19,'On call stat'!$S$3:$T$20,2,FALSE),""))*($B$3:$AG$3=O$16))&gt;0,"AL",
IF(WEEKDAY(O$16,2)=6,
IF($B19="Chan, Man Wai","HD",
IF($B19="Ng Suet Ping, Yoko","HD",
IF($B19="Li Mui Ying","HD1",
IF($B19="Huang Huanrao, Yoyo",IF(MOD(O$13,2)=1,"HD2",IFERROR(IF(SUMPRODUCT(($B$3:$AG$3=O$16)*($B$5:$AG$7=VLOOKUP($B19,'On call stat'!$S$3:$T$10,2,FALSE)))&gt;0,"D","DO"),"DO")),
IF($B19="Lee Ka Po, Kathy",IF(MOD(O$13,2)=0,"HD2",IFERROR(IF(SUMPRODUCT(($B$3:$AG$3=O$16)*($B$5:$AG$7=VLOOKUP($B19,'On call stat'!$S$3:$T$10,2,FALSE)))&gt;0,"D","DO"),"DO")),
IF($B19="Fan Hoi Wan, Ivy",IF(MOD(O$13,2)=0,"D",IFERROR(IF(SUMPRODUCT(($B$3:$AG$3=O$16)*($B$5:$AG$7=VLOOKUP($B19,'On call stat'!$S$3:$T$10,2,FALSE)))&gt;0,"D","DO"),"DO")),
IFERROR(IF(SUMPRODUCT(($B$3:$AG$3=O$16)*($B$5:$AG$7=VLOOKUP($B19,'On call stat'!$S$3:$T$10,2,FALSE)))&gt;0,"D","DO"),"DO"))))))),
IF($B19="Huang Huanrao, Yoyo",IF(MOD(O$13,2)=1,"D1","B6"),
IF($B19="Lee Ka Po, Kathy",IF(MOD(O$13,2)=0,"D1","B6"),
IFERROR(IF(SUMPRODUCT(($B$3:$AG$3=O$16)*($B$5:$AG$7=VLOOKUP($B19,'On call stat'!$S$3:$T$10,2,FALSE)))&gt;0,"E","D"),"D"))))))))</f>
        <v>DO</v>
      </c>
      <c r="P19" s="40" t="str">
        <f>IF(COUNTIF(PH!$A:$A,P$16)&gt;0,"PH",
IF(AND(SUMPRODUCT(($B$9:$AG$10=IFERROR(VLOOKUP($B19,'On call stat'!$S$3:$T$20,2,FALSE),""))*($B$3:$AG$3=P$16))&gt;0,OR(WEEKDAY(P$16,2)=6,),OR($B19="Chan, Man Wai",$B19="Ng Suet Ping, Yoko",$B19="Li Mui Ying",$B19="Lee Ka Po, Kathy",$B19="Huang Huanrao, Yoyo")),"HDAL",
IF(OR(WEEKDAY(P$16,2)=7,AND(WEEKDAY(P$16,2)=6,SUMPRODUCT(($B$9:$AG$10=IFERROR(VLOOKUP($B19,'On call stat'!$S$3:$T$20,2,FALSE),""))*($B$3:$AG$3=P$16))&gt;0)),"DO",
IF(SUMPRODUCT(($B$9:$AG$10=IFERROR(VLOOKUP($B19,'On call stat'!$S$3:$T$20,2,FALSE),""))*($B$3:$AG$3=P$16))&gt;0,"AL",
IF(WEEKDAY(P$16,2)=6,
IF($B19="Chan, Man Wai","HD",
IF($B19="Ng Suet Ping, Yoko","HD",
IF($B19="Li Mui Ying","HD1",
IF($B19="Huang Huanrao, Yoyo",IF(MOD(P$13,2)=1,"HD2",IFERROR(IF(SUMPRODUCT(($B$3:$AG$3=P$16)*($B$5:$AG$7=VLOOKUP($B19,'On call stat'!$S$3:$T$10,2,FALSE)))&gt;0,"D","DO"),"DO")),
IF($B19="Lee Ka Po, Kathy",IF(MOD(P$13,2)=0,"HD2",IFERROR(IF(SUMPRODUCT(($B$3:$AG$3=P$16)*($B$5:$AG$7=VLOOKUP($B19,'On call stat'!$S$3:$T$10,2,FALSE)))&gt;0,"D","DO"),"DO")),
IF($B19="Fan Hoi Wan, Ivy",IF(MOD(P$13,2)=0,"D",IFERROR(IF(SUMPRODUCT(($B$3:$AG$3=P$16)*($B$5:$AG$7=VLOOKUP($B19,'On call stat'!$S$3:$T$10,2,FALSE)))&gt;0,"D","DO"),"DO")),
IFERROR(IF(SUMPRODUCT(($B$3:$AG$3=P$16)*($B$5:$AG$7=VLOOKUP($B19,'On call stat'!$S$3:$T$10,2,FALSE)))&gt;0,"D","DO"),"DO"))))))),
IF($B19="Huang Huanrao, Yoyo",IF(MOD(P$13,2)=1,"D1","B6"),
IF($B19="Lee Ka Po, Kathy",IF(MOD(P$13,2)=0,"D1","B6"),
IFERROR(IF(SUMPRODUCT(($B$3:$AG$3=P$16)*($B$5:$AG$7=VLOOKUP($B19,'On call stat'!$S$3:$T$10,2,FALSE)))&gt;0,"E","D"),"D"))))))))</f>
        <v>D</v>
      </c>
      <c r="Q19" s="40" t="str">
        <f>IF(COUNTIF(PH!$A:$A,Q$16)&gt;0,"PH",
IF(AND(SUMPRODUCT(($B$9:$AG$10=IFERROR(VLOOKUP($B19,'On call stat'!$S$3:$T$20,2,FALSE),""))*($B$3:$AG$3=Q$16))&gt;0,OR(WEEKDAY(Q$16,2)=6,),OR($B19="Chan, Man Wai",$B19="Ng Suet Ping, Yoko",$B19="Li Mui Ying",$B19="Lee Ka Po, Kathy",$B19="Huang Huanrao, Yoyo")),"HDAL",
IF(OR(WEEKDAY(Q$16,2)=7,AND(WEEKDAY(Q$16,2)=6,SUMPRODUCT(($B$9:$AG$10=IFERROR(VLOOKUP($B19,'On call stat'!$S$3:$T$20,2,FALSE),""))*($B$3:$AG$3=Q$16))&gt;0)),"DO",
IF(SUMPRODUCT(($B$9:$AG$10=IFERROR(VLOOKUP($B19,'On call stat'!$S$3:$T$20,2,FALSE),""))*($B$3:$AG$3=Q$16))&gt;0,"AL",
IF(WEEKDAY(Q$16,2)=6,
IF($B19="Chan, Man Wai","HD",
IF($B19="Ng Suet Ping, Yoko","HD",
IF($B19="Li Mui Ying","HD1",
IF($B19="Huang Huanrao, Yoyo",IF(MOD(Q$13,2)=1,"HD2",IFERROR(IF(SUMPRODUCT(($B$3:$AG$3=Q$16)*($B$5:$AG$7=VLOOKUP($B19,'On call stat'!$S$3:$T$10,2,FALSE)))&gt;0,"D","DO"),"DO")),
IF($B19="Lee Ka Po, Kathy",IF(MOD(Q$13,2)=0,"HD2",IFERROR(IF(SUMPRODUCT(($B$3:$AG$3=Q$16)*($B$5:$AG$7=VLOOKUP($B19,'On call stat'!$S$3:$T$10,2,FALSE)))&gt;0,"D","DO"),"DO")),
IF($B19="Fan Hoi Wan, Ivy",IF(MOD(Q$13,2)=0,"D",IFERROR(IF(SUMPRODUCT(($B$3:$AG$3=Q$16)*($B$5:$AG$7=VLOOKUP($B19,'On call stat'!$S$3:$T$10,2,FALSE)))&gt;0,"D","DO"),"DO")),
IFERROR(IF(SUMPRODUCT(($B$3:$AG$3=Q$16)*($B$5:$AG$7=VLOOKUP($B19,'On call stat'!$S$3:$T$10,2,FALSE)))&gt;0,"D","DO"),"DO"))))))),
IF($B19="Huang Huanrao, Yoyo",IF(MOD(Q$13,2)=1,"D1","B6"),
IF($B19="Lee Ka Po, Kathy",IF(MOD(Q$13,2)=0,"D1","B6"),
IFERROR(IF(SUMPRODUCT(($B$3:$AG$3=Q$16)*($B$5:$AG$7=VLOOKUP($B19,'On call stat'!$S$3:$T$10,2,FALSE)))&gt;0,"E","D"),"D"))))))))</f>
        <v>D</v>
      </c>
      <c r="R19" s="40" t="str">
        <f>IF(COUNTIF(PH!$A:$A,R$16)&gt;0,"PH",
IF(AND(SUMPRODUCT(($B$9:$AG$10=IFERROR(VLOOKUP($B19,'On call stat'!$S$3:$T$20,2,FALSE),""))*($B$3:$AG$3=R$16))&gt;0,OR(WEEKDAY(R$16,2)=6,),OR($B19="Chan, Man Wai",$B19="Ng Suet Ping, Yoko",$B19="Li Mui Ying",$B19="Lee Ka Po, Kathy",$B19="Huang Huanrao, Yoyo")),"HDAL",
IF(OR(WEEKDAY(R$16,2)=7,AND(WEEKDAY(R$16,2)=6,SUMPRODUCT(($B$9:$AG$10=IFERROR(VLOOKUP($B19,'On call stat'!$S$3:$T$20,2,FALSE),""))*($B$3:$AG$3=R$16))&gt;0)),"DO",
IF(SUMPRODUCT(($B$9:$AG$10=IFERROR(VLOOKUP($B19,'On call stat'!$S$3:$T$20,2,FALSE),""))*($B$3:$AG$3=R$16))&gt;0,"AL",
IF(WEEKDAY(R$16,2)=6,
IF($B19="Chan, Man Wai","HD",
IF($B19="Ng Suet Ping, Yoko","HD",
IF($B19="Li Mui Ying","HD1",
IF($B19="Huang Huanrao, Yoyo",IF(MOD(R$13,2)=1,"HD2",IFERROR(IF(SUMPRODUCT(($B$3:$AG$3=R$16)*($B$5:$AG$7=VLOOKUP($B19,'On call stat'!$S$3:$T$10,2,FALSE)))&gt;0,"D","DO"),"DO")),
IF($B19="Lee Ka Po, Kathy",IF(MOD(R$13,2)=0,"HD2",IFERROR(IF(SUMPRODUCT(($B$3:$AG$3=R$16)*($B$5:$AG$7=VLOOKUP($B19,'On call stat'!$S$3:$T$10,2,FALSE)))&gt;0,"D","DO"),"DO")),
IF($B19="Fan Hoi Wan, Ivy",IF(MOD(R$13,2)=0,"D",IFERROR(IF(SUMPRODUCT(($B$3:$AG$3=R$16)*($B$5:$AG$7=VLOOKUP($B19,'On call stat'!$S$3:$T$10,2,FALSE)))&gt;0,"D","DO"),"DO")),
IFERROR(IF(SUMPRODUCT(($B$3:$AG$3=R$16)*($B$5:$AG$7=VLOOKUP($B19,'On call stat'!$S$3:$T$10,2,FALSE)))&gt;0,"D","DO"),"DO"))))))),
IF($B19="Huang Huanrao, Yoyo",IF(MOD(R$13,2)=1,"D1","B6"),
IF($B19="Lee Ka Po, Kathy",IF(MOD(R$13,2)=0,"D1","B6"),
IFERROR(IF(SUMPRODUCT(($B$3:$AG$3=R$16)*($B$5:$AG$7=VLOOKUP($B19,'On call stat'!$S$3:$T$10,2,FALSE)))&gt;0,"E","D"),"D"))))))))</f>
        <v>D</v>
      </c>
      <c r="S19" s="40" t="str">
        <f>IF(COUNTIF(PH!$A:$A,S$16)&gt;0,"PH",
IF(AND(SUMPRODUCT(($B$9:$AG$10=IFERROR(VLOOKUP($B19,'On call stat'!$S$3:$T$20,2,FALSE),""))*($B$3:$AG$3=S$16))&gt;0,OR(WEEKDAY(S$16,2)=6,),OR($B19="Chan, Man Wai",$B19="Ng Suet Ping, Yoko",$B19="Li Mui Ying",$B19="Lee Ka Po, Kathy",$B19="Huang Huanrao, Yoyo")),"HDAL",
IF(OR(WEEKDAY(S$16,2)=7,AND(WEEKDAY(S$16,2)=6,SUMPRODUCT(($B$9:$AG$10=IFERROR(VLOOKUP($B19,'On call stat'!$S$3:$T$20,2,FALSE),""))*($B$3:$AG$3=S$16))&gt;0)),"DO",
IF(SUMPRODUCT(($B$9:$AG$10=IFERROR(VLOOKUP($B19,'On call stat'!$S$3:$T$20,2,FALSE),""))*($B$3:$AG$3=S$16))&gt;0,"AL",
IF(WEEKDAY(S$16,2)=6,
IF($B19="Chan, Man Wai","HD",
IF($B19="Ng Suet Ping, Yoko","HD",
IF($B19="Li Mui Ying","HD1",
IF($B19="Huang Huanrao, Yoyo",IF(MOD(S$13,2)=1,"HD2",IFERROR(IF(SUMPRODUCT(($B$3:$AG$3=S$16)*($B$5:$AG$7=VLOOKUP($B19,'On call stat'!$S$3:$T$10,2,FALSE)))&gt;0,"D","DO"),"DO")),
IF($B19="Lee Ka Po, Kathy",IF(MOD(S$13,2)=0,"HD2",IFERROR(IF(SUMPRODUCT(($B$3:$AG$3=S$16)*($B$5:$AG$7=VLOOKUP($B19,'On call stat'!$S$3:$T$10,2,FALSE)))&gt;0,"D","DO"),"DO")),
IF($B19="Fan Hoi Wan, Ivy",IF(MOD(S$13,2)=0,"D",IFERROR(IF(SUMPRODUCT(($B$3:$AG$3=S$16)*($B$5:$AG$7=VLOOKUP($B19,'On call stat'!$S$3:$T$10,2,FALSE)))&gt;0,"D","DO"),"DO")),
IFERROR(IF(SUMPRODUCT(($B$3:$AG$3=S$16)*($B$5:$AG$7=VLOOKUP($B19,'On call stat'!$S$3:$T$10,2,FALSE)))&gt;0,"D","DO"),"DO"))))))),
IF($B19="Huang Huanrao, Yoyo",IF(MOD(S$13,2)=1,"D1","B6"),
IF($B19="Lee Ka Po, Kathy",IF(MOD(S$13,2)=0,"D1","B6"),
IFERROR(IF(SUMPRODUCT(($B$3:$AG$3=S$16)*($B$5:$AG$7=VLOOKUP($B19,'On call stat'!$S$3:$T$10,2,FALSE)))&gt;0,"E","D"),"D"))))))))</f>
        <v>D</v>
      </c>
      <c r="T19" s="40" t="str">
        <f>IF(COUNTIF(PH!$A:$A,T$16)&gt;0,"PH",
IF(AND(SUMPRODUCT(($B$9:$AG$10=IFERROR(VLOOKUP($B19,'On call stat'!$S$3:$T$20,2,FALSE),""))*($B$3:$AG$3=T$16))&gt;0,OR(WEEKDAY(T$16,2)=6,),OR($B19="Chan, Man Wai",$B19="Ng Suet Ping, Yoko",$B19="Li Mui Ying",$B19="Lee Ka Po, Kathy",$B19="Huang Huanrao, Yoyo")),"HDAL",
IF(OR(WEEKDAY(T$16,2)=7,AND(WEEKDAY(T$16,2)=6,SUMPRODUCT(($B$9:$AG$10=IFERROR(VLOOKUP($B19,'On call stat'!$S$3:$T$20,2,FALSE),""))*($B$3:$AG$3=T$16))&gt;0)),"DO",
IF(SUMPRODUCT(($B$9:$AG$10=IFERROR(VLOOKUP($B19,'On call stat'!$S$3:$T$20,2,FALSE),""))*($B$3:$AG$3=T$16))&gt;0,"AL",
IF(WEEKDAY(T$16,2)=6,
IF($B19="Chan, Man Wai","HD",
IF($B19="Ng Suet Ping, Yoko","HD",
IF($B19="Li Mui Ying","HD1",
IF($B19="Huang Huanrao, Yoyo",IF(MOD(T$13,2)=1,"HD2",IFERROR(IF(SUMPRODUCT(($B$3:$AG$3=T$16)*($B$5:$AG$7=VLOOKUP($B19,'On call stat'!$S$3:$T$10,2,FALSE)))&gt;0,"D","DO"),"DO")),
IF($B19="Lee Ka Po, Kathy",IF(MOD(T$13,2)=0,"HD2",IFERROR(IF(SUMPRODUCT(($B$3:$AG$3=T$16)*($B$5:$AG$7=VLOOKUP($B19,'On call stat'!$S$3:$T$10,2,FALSE)))&gt;0,"D","DO"),"DO")),
IF($B19="Fan Hoi Wan, Ivy",IF(MOD(T$13,2)=0,"D",IFERROR(IF(SUMPRODUCT(($B$3:$AG$3=T$16)*($B$5:$AG$7=VLOOKUP($B19,'On call stat'!$S$3:$T$10,2,FALSE)))&gt;0,"D","DO"),"DO")),
IFERROR(IF(SUMPRODUCT(($B$3:$AG$3=T$16)*($B$5:$AG$7=VLOOKUP($B19,'On call stat'!$S$3:$T$10,2,FALSE)))&gt;0,"D","DO"),"DO"))))))),
IF($B19="Huang Huanrao, Yoyo",IF(MOD(T$13,2)=1,"D1","B6"),
IF($B19="Lee Ka Po, Kathy",IF(MOD(T$13,2)=0,"D1","B6"),
IFERROR(IF(SUMPRODUCT(($B$3:$AG$3=T$16)*($B$5:$AG$7=VLOOKUP($B19,'On call stat'!$S$3:$T$10,2,FALSE)))&gt;0,"E","D"),"D"))))))))</f>
        <v>D</v>
      </c>
      <c r="U19" s="40" t="str">
        <f>IF(COUNTIF(PH!$A:$A,U$16)&gt;0,"PH",
IF(AND(SUMPRODUCT(($B$9:$AG$10=IFERROR(VLOOKUP($B19,'On call stat'!$S$3:$T$20,2,FALSE),""))*($B$3:$AG$3=U$16))&gt;0,OR(WEEKDAY(U$16,2)=6,),OR($B19="Chan, Man Wai",$B19="Ng Suet Ping, Yoko",$B19="Li Mui Ying",$B19="Lee Ka Po, Kathy",$B19="Huang Huanrao, Yoyo")),"HDAL",
IF(OR(WEEKDAY(U$16,2)=7,AND(WEEKDAY(U$16,2)=6,SUMPRODUCT(($B$9:$AG$10=IFERROR(VLOOKUP($B19,'On call stat'!$S$3:$T$20,2,FALSE),""))*($B$3:$AG$3=U$16))&gt;0)),"DO",
IF(SUMPRODUCT(($B$9:$AG$10=IFERROR(VLOOKUP($B19,'On call stat'!$S$3:$T$20,2,FALSE),""))*($B$3:$AG$3=U$16))&gt;0,"AL",
IF(WEEKDAY(U$16,2)=6,
IF($B19="Chan, Man Wai","HD",
IF($B19="Ng Suet Ping, Yoko","HD",
IF($B19="Li Mui Ying","HD1",
IF($B19="Huang Huanrao, Yoyo",IF(MOD(U$13,2)=1,"HD2",IFERROR(IF(SUMPRODUCT(($B$3:$AG$3=U$16)*($B$5:$AG$7=VLOOKUP($B19,'On call stat'!$S$3:$T$10,2,FALSE)))&gt;0,"D","DO"),"DO")),
IF($B19="Lee Ka Po, Kathy",IF(MOD(U$13,2)=0,"HD2",IFERROR(IF(SUMPRODUCT(($B$3:$AG$3=U$16)*($B$5:$AG$7=VLOOKUP($B19,'On call stat'!$S$3:$T$10,2,FALSE)))&gt;0,"D","DO"),"DO")),
IF($B19="Fan Hoi Wan, Ivy",IF(MOD(U$13,2)=0,"D",IFERROR(IF(SUMPRODUCT(($B$3:$AG$3=U$16)*($B$5:$AG$7=VLOOKUP($B19,'On call stat'!$S$3:$T$10,2,FALSE)))&gt;0,"D","DO"),"DO")),
IFERROR(IF(SUMPRODUCT(($B$3:$AG$3=U$16)*($B$5:$AG$7=VLOOKUP($B19,'On call stat'!$S$3:$T$10,2,FALSE)))&gt;0,"D","DO"),"DO"))))))),
IF($B19="Huang Huanrao, Yoyo",IF(MOD(U$13,2)=1,"D1","B6"),
IF($B19="Lee Ka Po, Kathy",IF(MOD(U$13,2)=0,"D1","B6"),
IFERROR(IF(SUMPRODUCT(($B$3:$AG$3=U$16)*($B$5:$AG$7=VLOOKUP($B19,'On call stat'!$S$3:$T$10,2,FALSE)))&gt;0,"E","D"),"D"))))))))</f>
        <v>DO</v>
      </c>
      <c r="V19" s="40" t="str">
        <f>IF(COUNTIF(PH!$A:$A,V$16)&gt;0,"PH",
IF(AND(SUMPRODUCT(($B$9:$AG$10=IFERROR(VLOOKUP($B19,'On call stat'!$S$3:$T$20,2,FALSE),""))*($B$3:$AG$3=V$16))&gt;0,OR(WEEKDAY(V$16,2)=6,),OR($B19="Chan, Man Wai",$B19="Ng Suet Ping, Yoko",$B19="Li Mui Ying",$B19="Lee Ka Po, Kathy",$B19="Huang Huanrao, Yoyo")),"HDAL",
IF(OR(WEEKDAY(V$16,2)=7,AND(WEEKDAY(V$16,2)=6,SUMPRODUCT(($B$9:$AG$10=IFERROR(VLOOKUP($B19,'On call stat'!$S$3:$T$20,2,FALSE),""))*($B$3:$AG$3=V$16))&gt;0)),"DO",
IF(SUMPRODUCT(($B$9:$AG$10=IFERROR(VLOOKUP($B19,'On call stat'!$S$3:$T$20,2,FALSE),""))*($B$3:$AG$3=V$16))&gt;0,"AL",
IF(WEEKDAY(V$16,2)=6,
IF($B19="Chan, Man Wai","HD",
IF($B19="Ng Suet Ping, Yoko","HD",
IF($B19="Li Mui Ying","HD1",
IF($B19="Huang Huanrao, Yoyo",IF(MOD(V$13,2)=1,"HD2",IFERROR(IF(SUMPRODUCT(($B$3:$AG$3=V$16)*($B$5:$AG$7=VLOOKUP($B19,'On call stat'!$S$3:$T$10,2,FALSE)))&gt;0,"D","DO"),"DO")),
IF($B19="Lee Ka Po, Kathy",IF(MOD(V$13,2)=0,"HD2",IFERROR(IF(SUMPRODUCT(($B$3:$AG$3=V$16)*($B$5:$AG$7=VLOOKUP($B19,'On call stat'!$S$3:$T$10,2,FALSE)))&gt;0,"D","DO"),"DO")),
IF($B19="Fan Hoi Wan, Ivy",IF(MOD(V$13,2)=0,"D",IFERROR(IF(SUMPRODUCT(($B$3:$AG$3=V$16)*($B$5:$AG$7=VLOOKUP($B19,'On call stat'!$S$3:$T$10,2,FALSE)))&gt;0,"D","DO"),"DO")),
IFERROR(IF(SUMPRODUCT(($B$3:$AG$3=V$16)*($B$5:$AG$7=VLOOKUP($B19,'On call stat'!$S$3:$T$10,2,FALSE)))&gt;0,"D","DO"),"DO"))))))),
IF($B19="Huang Huanrao, Yoyo",IF(MOD(V$13,2)=1,"D1","B6"),
IF($B19="Lee Ka Po, Kathy",IF(MOD(V$13,2)=0,"D1","B6"),
IFERROR(IF(SUMPRODUCT(($B$3:$AG$3=V$16)*($B$5:$AG$7=VLOOKUP($B19,'On call stat'!$S$3:$T$10,2,FALSE)))&gt;0,"E","D"),"D"))))))))</f>
        <v>DO</v>
      </c>
      <c r="W19" s="40" t="str">
        <f>IF(COUNTIF(PH!$A:$A,W$16)&gt;0,"PH",
IF(AND(SUMPRODUCT(($B$9:$AG$10=IFERROR(VLOOKUP($B19,'On call stat'!$S$3:$T$20,2,FALSE),""))*($B$3:$AG$3=W$16))&gt;0,OR(WEEKDAY(W$16,2)=6,),OR($B19="Chan, Man Wai",$B19="Ng Suet Ping, Yoko",$B19="Li Mui Ying",$B19="Lee Ka Po, Kathy",$B19="Huang Huanrao, Yoyo")),"HDAL",
IF(OR(WEEKDAY(W$16,2)=7,AND(WEEKDAY(W$16,2)=6,SUMPRODUCT(($B$9:$AG$10=IFERROR(VLOOKUP($B19,'On call stat'!$S$3:$T$20,2,FALSE),""))*($B$3:$AG$3=W$16))&gt;0)),"DO",
IF(SUMPRODUCT(($B$9:$AG$10=IFERROR(VLOOKUP($B19,'On call stat'!$S$3:$T$20,2,FALSE),""))*($B$3:$AG$3=W$16))&gt;0,"AL",
IF(WEEKDAY(W$16,2)=6,
IF($B19="Chan, Man Wai","HD",
IF($B19="Ng Suet Ping, Yoko","HD",
IF($B19="Li Mui Ying","HD1",
IF($B19="Huang Huanrao, Yoyo",IF(MOD(W$13,2)=1,"HD2",IFERROR(IF(SUMPRODUCT(($B$3:$AG$3=W$16)*($B$5:$AG$7=VLOOKUP($B19,'On call stat'!$S$3:$T$10,2,FALSE)))&gt;0,"D","DO"),"DO")),
IF($B19="Lee Ka Po, Kathy",IF(MOD(W$13,2)=0,"HD2",IFERROR(IF(SUMPRODUCT(($B$3:$AG$3=W$16)*($B$5:$AG$7=VLOOKUP($B19,'On call stat'!$S$3:$T$10,2,FALSE)))&gt;0,"D","DO"),"DO")),
IF($B19="Fan Hoi Wan, Ivy",IF(MOD(W$13,2)=0,"D",IFERROR(IF(SUMPRODUCT(($B$3:$AG$3=W$16)*($B$5:$AG$7=VLOOKUP($B19,'On call stat'!$S$3:$T$10,2,FALSE)))&gt;0,"D","DO"),"DO")),
IFERROR(IF(SUMPRODUCT(($B$3:$AG$3=W$16)*($B$5:$AG$7=VLOOKUP($B19,'On call stat'!$S$3:$T$10,2,FALSE)))&gt;0,"D","DO"),"DO"))))))),
IF($B19="Huang Huanrao, Yoyo",IF(MOD(W$13,2)=1,"D1","B6"),
IF($B19="Lee Ka Po, Kathy",IF(MOD(W$13,2)=0,"D1","B6"),
IFERROR(IF(SUMPRODUCT(($B$3:$AG$3=W$16)*($B$5:$AG$7=VLOOKUP($B19,'On call stat'!$S$3:$T$10,2,FALSE)))&gt;0,"E","D"),"D"))))))))</f>
        <v>D</v>
      </c>
      <c r="X19" s="40" t="str">
        <f>IF(COUNTIF(PH!$A:$A,X$16)&gt;0,"PH",
IF(AND(SUMPRODUCT(($B$9:$AG$10=IFERROR(VLOOKUP($B19,'On call stat'!$S$3:$T$20,2,FALSE),""))*($B$3:$AG$3=X$16))&gt;0,OR(WEEKDAY(X$16,2)=6,),OR($B19="Chan, Man Wai",$B19="Ng Suet Ping, Yoko",$B19="Li Mui Ying",$B19="Lee Ka Po, Kathy",$B19="Huang Huanrao, Yoyo")),"HDAL",
IF(OR(WEEKDAY(X$16,2)=7,AND(WEEKDAY(X$16,2)=6,SUMPRODUCT(($B$9:$AG$10=IFERROR(VLOOKUP($B19,'On call stat'!$S$3:$T$20,2,FALSE),""))*($B$3:$AG$3=X$16))&gt;0)),"DO",
IF(SUMPRODUCT(($B$9:$AG$10=IFERROR(VLOOKUP($B19,'On call stat'!$S$3:$T$20,2,FALSE),""))*($B$3:$AG$3=X$16))&gt;0,"AL",
IF(WEEKDAY(X$16,2)=6,
IF($B19="Chan, Man Wai","HD",
IF($B19="Ng Suet Ping, Yoko","HD",
IF($B19="Li Mui Ying","HD1",
IF($B19="Huang Huanrao, Yoyo",IF(MOD(X$13,2)=1,"HD2",IFERROR(IF(SUMPRODUCT(($B$3:$AG$3=X$16)*($B$5:$AG$7=VLOOKUP($B19,'On call stat'!$S$3:$T$10,2,FALSE)))&gt;0,"D","DO"),"DO")),
IF($B19="Lee Ka Po, Kathy",IF(MOD(X$13,2)=0,"HD2",IFERROR(IF(SUMPRODUCT(($B$3:$AG$3=X$16)*($B$5:$AG$7=VLOOKUP($B19,'On call stat'!$S$3:$T$10,2,FALSE)))&gt;0,"D","DO"),"DO")),
IF($B19="Fan Hoi Wan, Ivy",IF(MOD(X$13,2)=0,"D",IFERROR(IF(SUMPRODUCT(($B$3:$AG$3=X$16)*($B$5:$AG$7=VLOOKUP($B19,'On call stat'!$S$3:$T$10,2,FALSE)))&gt;0,"D","DO"),"DO")),
IFERROR(IF(SUMPRODUCT(($B$3:$AG$3=X$16)*($B$5:$AG$7=VLOOKUP($B19,'On call stat'!$S$3:$T$10,2,FALSE)))&gt;0,"D","DO"),"DO"))))))),
IF($B19="Huang Huanrao, Yoyo",IF(MOD(X$13,2)=1,"D1","B6"),
IF($B19="Lee Ka Po, Kathy",IF(MOD(X$13,2)=0,"D1","B6"),
IFERROR(IF(SUMPRODUCT(($B$3:$AG$3=X$16)*($B$5:$AG$7=VLOOKUP($B19,'On call stat'!$S$3:$T$10,2,FALSE)))&gt;0,"E","D"),"D"))))))))</f>
        <v>D</v>
      </c>
      <c r="Y19" s="40" t="str">
        <f>IF(COUNTIF(PH!$A:$A,Y$16)&gt;0,"PH",
IF(AND(SUMPRODUCT(($B$9:$AG$10=IFERROR(VLOOKUP($B19,'On call stat'!$S$3:$T$20,2,FALSE),""))*($B$3:$AG$3=Y$16))&gt;0,OR(WEEKDAY(Y$16,2)=6,),OR($B19="Chan, Man Wai",$B19="Ng Suet Ping, Yoko",$B19="Li Mui Ying",$B19="Lee Ka Po, Kathy",$B19="Huang Huanrao, Yoyo")),"HDAL",
IF(OR(WEEKDAY(Y$16,2)=7,AND(WEEKDAY(Y$16,2)=6,SUMPRODUCT(($B$9:$AG$10=IFERROR(VLOOKUP($B19,'On call stat'!$S$3:$T$20,2,FALSE),""))*($B$3:$AG$3=Y$16))&gt;0)),"DO",
IF(SUMPRODUCT(($B$9:$AG$10=IFERROR(VLOOKUP($B19,'On call stat'!$S$3:$T$20,2,FALSE),""))*($B$3:$AG$3=Y$16))&gt;0,"AL",
IF(WEEKDAY(Y$16,2)=6,
IF($B19="Chan, Man Wai","HD",
IF($B19="Ng Suet Ping, Yoko","HD",
IF($B19="Li Mui Ying","HD1",
IF($B19="Huang Huanrao, Yoyo",IF(MOD(Y$13,2)=1,"HD2",IFERROR(IF(SUMPRODUCT(($B$3:$AG$3=Y$16)*($B$5:$AG$7=VLOOKUP($B19,'On call stat'!$S$3:$T$10,2,FALSE)))&gt;0,"D","DO"),"DO")),
IF($B19="Lee Ka Po, Kathy",IF(MOD(Y$13,2)=0,"HD2",IFERROR(IF(SUMPRODUCT(($B$3:$AG$3=Y$16)*($B$5:$AG$7=VLOOKUP($B19,'On call stat'!$S$3:$T$10,2,FALSE)))&gt;0,"D","DO"),"DO")),
IF($B19="Fan Hoi Wan, Ivy",IF(MOD(Y$13,2)=0,"D",IFERROR(IF(SUMPRODUCT(($B$3:$AG$3=Y$16)*($B$5:$AG$7=VLOOKUP($B19,'On call stat'!$S$3:$T$10,2,FALSE)))&gt;0,"D","DO"),"DO")),
IFERROR(IF(SUMPRODUCT(($B$3:$AG$3=Y$16)*($B$5:$AG$7=VLOOKUP($B19,'On call stat'!$S$3:$T$10,2,FALSE)))&gt;0,"D","DO"),"DO"))))))),
IF($B19="Huang Huanrao, Yoyo",IF(MOD(Y$13,2)=1,"D1","B6"),
IF($B19="Lee Ka Po, Kathy",IF(MOD(Y$13,2)=0,"D1","B6"),
IFERROR(IF(SUMPRODUCT(($B$3:$AG$3=Y$16)*($B$5:$AG$7=VLOOKUP($B19,'On call stat'!$S$3:$T$10,2,FALSE)))&gt;0,"E","D"),"D"))))))))</f>
        <v>D</v>
      </c>
      <c r="Z19" s="40" t="str">
        <f>IF(COUNTIF(PH!$A:$A,Z$16)&gt;0,"PH",
IF(AND(SUMPRODUCT(($B$9:$AG$10=IFERROR(VLOOKUP($B19,'On call stat'!$S$3:$T$20,2,FALSE),""))*($B$3:$AG$3=Z$16))&gt;0,OR(WEEKDAY(Z$16,2)=6,),OR($B19="Chan, Man Wai",$B19="Ng Suet Ping, Yoko",$B19="Li Mui Ying",$B19="Lee Ka Po, Kathy",$B19="Huang Huanrao, Yoyo")),"HDAL",
IF(OR(WEEKDAY(Z$16,2)=7,AND(WEEKDAY(Z$16,2)=6,SUMPRODUCT(($B$9:$AG$10=IFERROR(VLOOKUP($B19,'On call stat'!$S$3:$T$20,2,FALSE),""))*($B$3:$AG$3=Z$16))&gt;0)),"DO",
IF(SUMPRODUCT(($B$9:$AG$10=IFERROR(VLOOKUP($B19,'On call stat'!$S$3:$T$20,2,FALSE),""))*($B$3:$AG$3=Z$16))&gt;0,"AL",
IF(WEEKDAY(Z$16,2)=6,
IF($B19="Chan, Man Wai","HD",
IF($B19="Ng Suet Ping, Yoko","HD",
IF($B19="Li Mui Ying","HD1",
IF($B19="Huang Huanrao, Yoyo",IF(MOD(Z$13,2)=1,"HD2",IFERROR(IF(SUMPRODUCT(($B$3:$AG$3=Z$16)*($B$5:$AG$7=VLOOKUP($B19,'On call stat'!$S$3:$T$10,2,FALSE)))&gt;0,"D","DO"),"DO")),
IF($B19="Lee Ka Po, Kathy",IF(MOD(Z$13,2)=0,"HD2",IFERROR(IF(SUMPRODUCT(($B$3:$AG$3=Z$16)*($B$5:$AG$7=VLOOKUP($B19,'On call stat'!$S$3:$T$10,2,FALSE)))&gt;0,"D","DO"),"DO")),
IF($B19="Fan Hoi Wan, Ivy",IF(MOD(Z$13,2)=0,"D",IFERROR(IF(SUMPRODUCT(($B$3:$AG$3=Z$16)*($B$5:$AG$7=VLOOKUP($B19,'On call stat'!$S$3:$T$10,2,FALSE)))&gt;0,"D","DO"),"DO")),
IFERROR(IF(SUMPRODUCT(($B$3:$AG$3=Z$16)*($B$5:$AG$7=VLOOKUP($B19,'On call stat'!$S$3:$T$10,2,FALSE)))&gt;0,"D","DO"),"DO"))))))),
IF($B19="Huang Huanrao, Yoyo",IF(MOD(Z$13,2)=1,"D1","B6"),
IF($B19="Lee Ka Po, Kathy",IF(MOD(Z$13,2)=0,"D1","B6"),
IFERROR(IF(SUMPRODUCT(($B$3:$AG$3=Z$16)*($B$5:$AG$7=VLOOKUP($B19,'On call stat'!$S$3:$T$10,2,FALSE)))&gt;0,"E","D"),"D"))))))))</f>
        <v>D</v>
      </c>
      <c r="AA19" s="40" t="str">
        <f>IF(COUNTIF(PH!$A:$A,AA$16)&gt;0,"PH",
IF(AND(SUMPRODUCT(($B$9:$AG$10=IFERROR(VLOOKUP($B19,'On call stat'!$S$3:$T$20,2,FALSE),""))*($B$3:$AG$3=AA$16))&gt;0,OR(WEEKDAY(AA$16,2)=6,),OR($B19="Chan, Man Wai",$B19="Ng Suet Ping, Yoko",$B19="Li Mui Ying",$B19="Lee Ka Po, Kathy",$B19="Huang Huanrao, Yoyo")),"HDAL",
IF(OR(WEEKDAY(AA$16,2)=7,AND(WEEKDAY(AA$16,2)=6,SUMPRODUCT(($B$9:$AG$10=IFERROR(VLOOKUP($B19,'On call stat'!$S$3:$T$20,2,FALSE),""))*($B$3:$AG$3=AA$16))&gt;0)),"DO",
IF(SUMPRODUCT(($B$9:$AG$10=IFERROR(VLOOKUP($B19,'On call stat'!$S$3:$T$20,2,FALSE),""))*($B$3:$AG$3=AA$16))&gt;0,"AL",
IF(WEEKDAY(AA$16,2)=6,
IF($B19="Chan, Man Wai","HD",
IF($B19="Ng Suet Ping, Yoko","HD",
IF($B19="Li Mui Ying","HD1",
IF($B19="Huang Huanrao, Yoyo",IF(MOD(AA$13,2)=1,"HD2",IFERROR(IF(SUMPRODUCT(($B$3:$AG$3=AA$16)*($B$5:$AG$7=VLOOKUP($B19,'On call stat'!$S$3:$T$10,2,FALSE)))&gt;0,"D","DO"),"DO")),
IF($B19="Lee Ka Po, Kathy",IF(MOD(AA$13,2)=0,"HD2",IFERROR(IF(SUMPRODUCT(($B$3:$AG$3=AA$16)*($B$5:$AG$7=VLOOKUP($B19,'On call stat'!$S$3:$T$10,2,FALSE)))&gt;0,"D","DO"),"DO")),
IF($B19="Fan Hoi Wan, Ivy",IF(MOD(AA$13,2)=0,"D",IFERROR(IF(SUMPRODUCT(($B$3:$AG$3=AA$16)*($B$5:$AG$7=VLOOKUP($B19,'On call stat'!$S$3:$T$10,2,FALSE)))&gt;0,"D","DO"),"DO")),
IFERROR(IF(SUMPRODUCT(($B$3:$AG$3=AA$16)*($B$5:$AG$7=VLOOKUP($B19,'On call stat'!$S$3:$T$10,2,FALSE)))&gt;0,"D","DO"),"DO"))))))),
IF($B19="Huang Huanrao, Yoyo",IF(MOD(AA$13,2)=1,"D1","B6"),
IF($B19="Lee Ka Po, Kathy",IF(MOD(AA$13,2)=0,"D1","B6"),
IFERROR(IF(SUMPRODUCT(($B$3:$AG$3=AA$16)*($B$5:$AG$7=VLOOKUP($B19,'On call stat'!$S$3:$T$10,2,FALSE)))&gt;0,"E","D"),"D"))))))))</f>
        <v>PH</v>
      </c>
      <c r="AB19" s="40" t="str">
        <f>IF(COUNTIF(PH!$A:$A,AB$16)&gt;0,"PH",
IF(AND(SUMPRODUCT(($B$9:$AG$10=IFERROR(VLOOKUP($B19,'On call stat'!$S$3:$T$20,2,FALSE),""))*($B$3:$AG$3=AB$16))&gt;0,OR(WEEKDAY(AB$16,2)=6,),OR($B19="Chan, Man Wai",$B19="Ng Suet Ping, Yoko",$B19="Li Mui Ying",$B19="Lee Ka Po, Kathy",$B19="Huang Huanrao, Yoyo")),"HDAL",
IF(OR(WEEKDAY(AB$16,2)=7,AND(WEEKDAY(AB$16,2)=6,SUMPRODUCT(($B$9:$AG$10=IFERROR(VLOOKUP($B19,'On call stat'!$S$3:$T$20,2,FALSE),""))*($B$3:$AG$3=AB$16))&gt;0)),"DO",
IF(SUMPRODUCT(($B$9:$AG$10=IFERROR(VLOOKUP($B19,'On call stat'!$S$3:$T$20,2,FALSE),""))*($B$3:$AG$3=AB$16))&gt;0,"AL",
IF(WEEKDAY(AB$16,2)=6,
IF($B19="Chan, Man Wai","HD",
IF($B19="Ng Suet Ping, Yoko","HD",
IF($B19="Li Mui Ying","HD1",
IF($B19="Huang Huanrao, Yoyo",IF(MOD(AB$13,2)=1,"HD2",IFERROR(IF(SUMPRODUCT(($B$3:$AG$3=AB$16)*($B$5:$AG$7=VLOOKUP($B19,'On call stat'!$S$3:$T$10,2,FALSE)))&gt;0,"D","DO"),"DO")),
IF($B19="Lee Ka Po, Kathy",IF(MOD(AB$13,2)=0,"HD2",IFERROR(IF(SUMPRODUCT(($B$3:$AG$3=AB$16)*($B$5:$AG$7=VLOOKUP($B19,'On call stat'!$S$3:$T$10,2,FALSE)))&gt;0,"D","DO"),"DO")),
IF($B19="Fan Hoi Wan, Ivy",IF(MOD(AB$13,2)=0,"D",IFERROR(IF(SUMPRODUCT(($B$3:$AG$3=AB$16)*($B$5:$AG$7=VLOOKUP($B19,'On call stat'!$S$3:$T$10,2,FALSE)))&gt;0,"D","DO"),"DO")),
IFERROR(IF(SUMPRODUCT(($B$3:$AG$3=AB$16)*($B$5:$AG$7=VLOOKUP($B19,'On call stat'!$S$3:$T$10,2,FALSE)))&gt;0,"D","DO"),"DO"))))))),
IF($B19="Huang Huanrao, Yoyo",IF(MOD(AB$13,2)=1,"D1","B6"),
IF($B19="Lee Ka Po, Kathy",IF(MOD(AB$13,2)=0,"D1","B6"),
IFERROR(IF(SUMPRODUCT(($B$3:$AG$3=AB$16)*($B$5:$AG$7=VLOOKUP($B19,'On call stat'!$S$3:$T$10,2,FALSE)))&gt;0,"E","D"),"D"))))))))</f>
        <v>PH</v>
      </c>
      <c r="AC19" s="40" t="str">
        <f>IF(COUNTIF(PH!$A:$A,AC$16)&gt;0,"PH",
IF(AND(SUMPRODUCT(($B$9:$AG$10=IFERROR(VLOOKUP($B19,'On call stat'!$S$3:$T$20,2,FALSE),""))*($B$3:$AG$3=AC$16))&gt;0,OR(WEEKDAY(AC$16,2)=6,),OR($B19="Chan, Man Wai",$B19="Ng Suet Ping, Yoko",$B19="Li Mui Ying",$B19="Lee Ka Po, Kathy",$B19="Huang Huanrao, Yoyo")),"HDAL",
IF(OR(WEEKDAY(AC$16,2)=7,AND(WEEKDAY(AC$16,2)=6,SUMPRODUCT(($B$9:$AG$10=IFERROR(VLOOKUP($B19,'On call stat'!$S$3:$T$20,2,FALSE),""))*($B$3:$AG$3=AC$16))&gt;0)),"DO",
IF(SUMPRODUCT(($B$9:$AG$10=IFERROR(VLOOKUP($B19,'On call stat'!$S$3:$T$20,2,FALSE),""))*($B$3:$AG$3=AC$16))&gt;0,"AL",
IF(WEEKDAY(AC$16,2)=6,
IF($B19="Chan, Man Wai","HD",
IF($B19="Ng Suet Ping, Yoko","HD",
IF($B19="Li Mui Ying","HD1",
IF($B19="Huang Huanrao, Yoyo",IF(MOD(AC$13,2)=1,"HD2",IFERROR(IF(SUMPRODUCT(($B$3:$AG$3=AC$16)*($B$5:$AG$7=VLOOKUP($B19,'On call stat'!$S$3:$T$10,2,FALSE)))&gt;0,"D","DO"),"DO")),
IF($B19="Lee Ka Po, Kathy",IF(MOD(AC$13,2)=0,"HD2",IFERROR(IF(SUMPRODUCT(($B$3:$AG$3=AC$16)*($B$5:$AG$7=VLOOKUP($B19,'On call stat'!$S$3:$T$10,2,FALSE)))&gt;0,"D","DO"),"DO")),
IF($B19="Fan Hoi Wan, Ivy",IF(MOD(AC$13,2)=0,"D",IFERROR(IF(SUMPRODUCT(($B$3:$AG$3=AC$16)*($B$5:$AG$7=VLOOKUP($B19,'On call stat'!$S$3:$T$10,2,FALSE)))&gt;0,"D","DO"),"DO")),
IFERROR(IF(SUMPRODUCT(($B$3:$AG$3=AC$16)*($B$5:$AG$7=VLOOKUP($B19,'On call stat'!$S$3:$T$10,2,FALSE)))&gt;0,"D","DO"),"DO"))))))),
IF($B19="Huang Huanrao, Yoyo",IF(MOD(AC$13,2)=1,"D1","B6"),
IF($B19="Lee Ka Po, Kathy",IF(MOD(AC$13,2)=0,"D1","B6"),
IFERROR(IF(SUMPRODUCT(($B$3:$AG$3=AC$16)*($B$5:$AG$7=VLOOKUP($B19,'On call stat'!$S$3:$T$10,2,FALSE)))&gt;0,"E","D"),"D"))))))))</f>
        <v>DO</v>
      </c>
      <c r="AD19" s="40" t="str">
        <f>IF(COUNTIF(PH!$A:$A,AD$16)&gt;0,"PH",
IF(AND(SUMPRODUCT(($B$9:$AG$10=IFERROR(VLOOKUP($B19,'On call stat'!$S$3:$T$20,2,FALSE),""))*($B$3:$AG$3=AD$16))&gt;0,OR(WEEKDAY(AD$16,2)=6,),OR($B19="Chan, Man Wai",$B19="Ng Suet Ping, Yoko",$B19="Li Mui Ying",$B19="Lee Ka Po, Kathy",$B19="Huang Huanrao, Yoyo")),"HDAL",
IF(OR(WEEKDAY(AD$16,2)=7,AND(WEEKDAY(AD$16,2)=6,SUMPRODUCT(($B$9:$AG$10=IFERROR(VLOOKUP($B19,'On call stat'!$S$3:$T$20,2,FALSE),""))*($B$3:$AG$3=AD$16))&gt;0)),"DO",
IF(SUMPRODUCT(($B$9:$AG$10=IFERROR(VLOOKUP($B19,'On call stat'!$S$3:$T$20,2,FALSE),""))*($B$3:$AG$3=AD$16))&gt;0,"AL",
IF(WEEKDAY(AD$16,2)=6,
IF($B19="Chan, Man Wai","HD",
IF($B19="Ng Suet Ping, Yoko","HD",
IF($B19="Li Mui Ying","HD1",
IF($B19="Huang Huanrao, Yoyo",IF(MOD(AD$13,2)=1,"HD2",IFERROR(IF(SUMPRODUCT(($B$3:$AG$3=AD$16)*($B$5:$AG$7=VLOOKUP($B19,'On call stat'!$S$3:$T$10,2,FALSE)))&gt;0,"D","DO"),"DO")),
IF($B19="Lee Ka Po, Kathy",IF(MOD(AD$13,2)=0,"HD2",IFERROR(IF(SUMPRODUCT(($B$3:$AG$3=AD$16)*($B$5:$AG$7=VLOOKUP($B19,'On call stat'!$S$3:$T$10,2,FALSE)))&gt;0,"D","DO"),"DO")),
IF($B19="Fan Hoi Wan, Ivy",IF(MOD(AD$13,2)=0,"D",IFERROR(IF(SUMPRODUCT(($B$3:$AG$3=AD$16)*($B$5:$AG$7=VLOOKUP($B19,'On call stat'!$S$3:$T$10,2,FALSE)))&gt;0,"D","DO"),"DO")),
IFERROR(IF(SUMPRODUCT(($B$3:$AG$3=AD$16)*($B$5:$AG$7=VLOOKUP($B19,'On call stat'!$S$3:$T$10,2,FALSE)))&gt;0,"D","DO"),"DO"))))))),
IF($B19="Huang Huanrao, Yoyo",IF(MOD(AD$13,2)=1,"D1","B6"),
IF($B19="Lee Ka Po, Kathy",IF(MOD(AD$13,2)=0,"D1","B6"),
IFERROR(IF(SUMPRODUCT(($B$3:$AG$3=AD$16)*($B$5:$AG$7=VLOOKUP($B19,'On call stat'!$S$3:$T$10,2,FALSE)))&gt;0,"E","D"),"D"))))))))</f>
        <v>D</v>
      </c>
      <c r="AE19" s="40" t="str">
        <f>IF(COUNTIF(PH!$A:$A,AE$16)&gt;0,"PH",
IF(AND(SUMPRODUCT(($B$9:$AG$10=IFERROR(VLOOKUP($B19,'On call stat'!$S$3:$T$20,2,FALSE),""))*($B$3:$AG$3=AE$16))&gt;0,OR(WEEKDAY(AE$16,2)=6,),OR($B19="Chan, Man Wai",$B19="Ng Suet Ping, Yoko",$B19="Li Mui Ying",$B19="Lee Ka Po, Kathy",$B19="Huang Huanrao, Yoyo")),"HDAL",
IF(OR(WEEKDAY(AE$16,2)=7,AND(WEEKDAY(AE$16,2)=6,SUMPRODUCT(($B$9:$AG$10=IFERROR(VLOOKUP($B19,'On call stat'!$S$3:$T$20,2,FALSE),""))*($B$3:$AG$3=AE$16))&gt;0)),"DO",
IF(SUMPRODUCT(($B$9:$AG$10=IFERROR(VLOOKUP($B19,'On call stat'!$S$3:$T$20,2,FALSE),""))*($B$3:$AG$3=AE$16))&gt;0,"AL",
IF(WEEKDAY(AE$16,2)=6,
IF($B19="Chan, Man Wai","HD",
IF($B19="Ng Suet Ping, Yoko","HD",
IF($B19="Li Mui Ying","HD1",
IF($B19="Huang Huanrao, Yoyo",IF(MOD(AE$13,2)=1,"HD2",IFERROR(IF(SUMPRODUCT(($B$3:$AG$3=AE$16)*($B$5:$AG$7=VLOOKUP($B19,'On call stat'!$S$3:$T$10,2,FALSE)))&gt;0,"D","DO"),"DO")),
IF($B19="Lee Ka Po, Kathy",IF(MOD(AE$13,2)=0,"HD2",IFERROR(IF(SUMPRODUCT(($B$3:$AG$3=AE$16)*($B$5:$AG$7=VLOOKUP($B19,'On call stat'!$S$3:$T$10,2,FALSE)))&gt;0,"D","DO"),"DO")),
IF($B19="Fan Hoi Wan, Ivy",IF(MOD(AE$13,2)=0,"D",IFERROR(IF(SUMPRODUCT(($B$3:$AG$3=AE$16)*($B$5:$AG$7=VLOOKUP($B19,'On call stat'!$S$3:$T$10,2,FALSE)))&gt;0,"D","DO"),"DO")),
IFERROR(IF(SUMPRODUCT(($B$3:$AG$3=AE$16)*($B$5:$AG$7=VLOOKUP($B19,'On call stat'!$S$3:$T$10,2,FALSE)))&gt;0,"D","DO"),"DO"))))))),
IF($B19="Huang Huanrao, Yoyo",IF(MOD(AE$13,2)=1,"D1","B6"),
IF($B19="Lee Ka Po, Kathy",IF(MOD(AE$13,2)=0,"D1","B6"),
IFERROR(IF(SUMPRODUCT(($B$3:$AG$3=AE$16)*($B$5:$AG$7=VLOOKUP($B19,'On call stat'!$S$3:$T$10,2,FALSE)))&gt;0,"E","D"),"D"))))))))</f>
        <v>D</v>
      </c>
      <c r="AF19" s="40" t="str">
        <f>IF(COUNTIF(PH!$A:$A,AF$16)&gt;0,"PH",
IF(AND(SUMPRODUCT(($B$9:$AG$10=IFERROR(VLOOKUP($B19,'On call stat'!$S$3:$T$20,2,FALSE),""))*($B$3:$AG$3=AF$16))&gt;0,OR(WEEKDAY(AF$16,2)=6,),OR($B19="Chan, Man Wai",$B19="Ng Suet Ping, Yoko",$B19="Li Mui Ying",$B19="Lee Ka Po, Kathy",$B19="Huang Huanrao, Yoyo")),"HDAL",
IF(OR(WEEKDAY(AF$16,2)=7,AND(WEEKDAY(AF$16,2)=6,SUMPRODUCT(($B$9:$AG$10=IFERROR(VLOOKUP($B19,'On call stat'!$S$3:$T$20,2,FALSE),""))*($B$3:$AG$3=AF$16))&gt;0)),"DO",
IF(SUMPRODUCT(($B$9:$AG$10=IFERROR(VLOOKUP($B19,'On call stat'!$S$3:$T$20,2,FALSE),""))*($B$3:$AG$3=AF$16))&gt;0,"AL",
IF(WEEKDAY(AF$16,2)=6,
IF($B19="Chan, Man Wai","HD",
IF($B19="Ng Suet Ping, Yoko","HD",
IF($B19="Li Mui Ying","HD1",
IF($B19="Huang Huanrao, Yoyo",IF(MOD(AF$13,2)=1,"HD2",IFERROR(IF(SUMPRODUCT(($B$3:$AG$3=AF$16)*($B$5:$AG$7=VLOOKUP($B19,'On call stat'!$S$3:$T$10,2,FALSE)))&gt;0,"D","DO"),"DO")),
IF($B19="Lee Ka Po, Kathy",IF(MOD(AF$13,2)=0,"HD2",IFERROR(IF(SUMPRODUCT(($B$3:$AG$3=AF$16)*($B$5:$AG$7=VLOOKUP($B19,'On call stat'!$S$3:$T$10,2,FALSE)))&gt;0,"D","DO"),"DO")),
IF($B19="Fan Hoi Wan, Ivy",IF(MOD(AF$13,2)=0,"D",IFERROR(IF(SUMPRODUCT(($B$3:$AG$3=AF$16)*($B$5:$AG$7=VLOOKUP($B19,'On call stat'!$S$3:$T$10,2,FALSE)))&gt;0,"D","DO"),"DO")),
IFERROR(IF(SUMPRODUCT(($B$3:$AG$3=AF$16)*($B$5:$AG$7=VLOOKUP($B19,'On call stat'!$S$3:$T$10,2,FALSE)))&gt;0,"D","DO"),"DO"))))))),
IF($B19="Huang Huanrao, Yoyo",IF(MOD(AF$13,2)=1,"D1","B6"),
IF($B19="Lee Ka Po, Kathy",IF(MOD(AF$13,2)=0,"D1","B6"),
IFERROR(IF(SUMPRODUCT(($B$3:$AG$3=AF$16)*($B$5:$AG$7=VLOOKUP($B19,'On call stat'!$S$3:$T$10,2,FALSE)))&gt;0,"E","D"),"D"))))))))</f>
        <v>D</v>
      </c>
      <c r="AG19" s="40" t="str">
        <f>IF(COUNTIF(PH!$A:$A,AG$16)&gt;0,"PH",
IF(AND(SUMPRODUCT(($B$9:$AG$10=IFERROR(VLOOKUP($B19,'On call stat'!$S$3:$T$20,2,FALSE),""))*($B$3:$AG$3=AG$16))&gt;0,OR(WEEKDAY(AG$16,2)=6,),OR($B19="Chan, Man Wai",$B19="Ng Suet Ping, Yoko",$B19="Li Mui Ying",$B19="Lee Ka Po, Kathy",$B19="Huang Huanrao, Yoyo")),"HDAL",
IF(OR(WEEKDAY(AG$16,2)=7,AND(WEEKDAY(AG$16,2)=6,SUMPRODUCT(($B$9:$AG$10=IFERROR(VLOOKUP($B19,'On call stat'!$S$3:$T$20,2,FALSE),""))*($B$3:$AG$3=AG$16))&gt;0)),"DO",
IF(SUMPRODUCT(($B$9:$AG$10=IFERROR(VLOOKUP($B19,'On call stat'!$S$3:$T$20,2,FALSE),""))*($B$3:$AG$3=AG$16))&gt;0,"AL",
IF(WEEKDAY(AG$16,2)=6,
IF($B19="Chan, Man Wai","HD",
IF($B19="Ng Suet Ping, Yoko","HD",
IF($B19="Li Mui Ying","HD1",
IF($B19="Huang Huanrao, Yoyo",IF(MOD(AG$13,2)=1,"HD2",IFERROR(IF(SUMPRODUCT(($B$3:$AG$3=AG$16)*($B$5:$AG$7=VLOOKUP($B19,'On call stat'!$S$3:$T$10,2,FALSE)))&gt;0,"D","DO"),"DO")),
IF($B19="Lee Ka Po, Kathy",IF(MOD(AG$13,2)=0,"HD2",IFERROR(IF(SUMPRODUCT(($B$3:$AG$3=AG$16)*($B$5:$AG$7=VLOOKUP($B19,'On call stat'!$S$3:$T$10,2,FALSE)))&gt;0,"D","DO"),"DO")),
IF($B19="Fan Hoi Wan, Ivy",IF(MOD(AG$13,2)=0,"D",IFERROR(IF(SUMPRODUCT(($B$3:$AG$3=AG$16)*($B$5:$AG$7=VLOOKUP($B19,'On call stat'!$S$3:$T$10,2,FALSE)))&gt;0,"D","DO"),"DO")),
IFERROR(IF(SUMPRODUCT(($B$3:$AG$3=AG$16)*($B$5:$AG$7=VLOOKUP($B19,'On call stat'!$S$3:$T$10,2,FALSE)))&gt;0,"D","DO"),"DO"))))))),
IF($B19="Huang Huanrao, Yoyo",IF(MOD(AG$13,2)=1,"D1","B6"),
IF($B19="Lee Ka Po, Kathy",IF(MOD(AG$13,2)=0,"D1","B6"),
IFERROR(IF(SUMPRODUCT(($B$3:$AG$3=AG$16)*($B$5:$AG$7=VLOOKUP($B19,'On call stat'!$S$3:$T$10,2,FALSE)))&gt;0,"E","D"),"D"))))))))</f>
        <v>D</v>
      </c>
      <c r="AK19" s="11" t="s">
        <v>21</v>
      </c>
      <c r="AL19" s="65">
        <f t="shared" ref="AL19:AL26" si="4">SUMPRODUCT((C19:AG19="D")*8) + SUMPRODUCT((C19:AG19="E")*8) + SUMPRODUCT((C19:AG19="HD")*4)</f>
        <v>184</v>
      </c>
      <c r="AM19" s="66" cm="1">
        <f t="array" ref="AM19">SUMPRODUCT((C19:AG19="AL") *  (COUNTIF(PH!$A:$A, C$16:AG$16)=0) *(WEEKDAY(C$16:AG$16,2)&lt;=5) *  8)+SUMPRODUCT((C19:AG19="HDAL") *  (COUNTIF(PH!$A:$A, C$16:AG$16)=0) *(WEEKDAY(C$16:AG$16,2)&lt;=6) *  4)</f>
        <v>0</v>
      </c>
      <c r="AN19" s="68">
        <f t="shared" ref="AN19:AN31" si="5">AL19+AM19</f>
        <v>184</v>
      </c>
      <c r="AO19" s="67">
        <f t="shared" ref="AO19:AO20" si="6">AN19-$AN$18</f>
        <v>-4</v>
      </c>
      <c r="AP19" s="67">
        <f>AO19+Nov!AP19</f>
        <v>-4</v>
      </c>
    </row>
    <row r="20" spans="1:42" ht="37.5" customHeight="1" thickBot="1">
      <c r="A20" s="24" t="s">
        <v>55</v>
      </c>
      <c r="B20" s="22" t="s">
        <v>56</v>
      </c>
      <c r="C20" s="40" t="str">
        <f>IF(COUNTIF(PH!$A:$A,C$16)&gt;0,"PH",
IF(AND(SUMPRODUCT(($B$9:$AG$10=IFERROR(VLOOKUP($B20,'On call stat'!$S$3:$T$20,2,FALSE),""))*($B$3:$AG$3=C$16))&gt;0,OR(WEEKDAY(C$16,2)=6,),OR($B20="Chan, Man Wai",$B20="Ng Suet Ping, Yoko",$B20="Li Mui Ying",$B20="Lee Ka Po, Kathy",$B20="Huang Huanrao, Yoyo")),"HDAL",
IF(OR(WEEKDAY(C$16,2)=7,AND(WEEKDAY(C$16,2)=6,SUMPRODUCT(($B$9:$AG$10=IFERROR(VLOOKUP($B20,'On call stat'!$S$3:$T$20,2,FALSE),""))*($B$3:$AG$3=C$16))&gt;0)),"DO",
IF(SUMPRODUCT(($B$9:$AG$10=IFERROR(VLOOKUP($B20,'On call stat'!$S$3:$T$20,2,FALSE),""))*($B$3:$AG$3=C$16))&gt;0,"AL",
IF(WEEKDAY(C$16,2)=6,
IF($B20="Chan, Man Wai","HD",
IF($B20="Ng Suet Ping, Yoko","HD",
IF($B20="Li Mui Ying","HD1",
IF($B20="Huang Huanrao, Yoyo",IF(MOD(C$13,2)=1,"HD2",IFERROR(IF(SUMPRODUCT(($B$3:$AG$3=C$16)*($B$5:$AG$7=VLOOKUP($B20,'On call stat'!$S$3:$T$10,2,FALSE)))&gt;0,"D","DO"),"DO")),
IF($B20="Lee Ka Po, Kathy",IF(MOD(C$13,2)=0,"HD2",IFERROR(IF(SUMPRODUCT(($B$3:$AG$3=C$16)*($B$5:$AG$7=VLOOKUP($B20,'On call stat'!$S$3:$T$10,2,FALSE)))&gt;0,"D","DO"),"DO")),
IF($B20="Fan Hoi Wan, Ivy",IF(MOD(C$13,2)=0,"D",IFERROR(IF(SUMPRODUCT(($B$3:$AG$3=C$16)*($B$5:$AG$7=VLOOKUP($B20,'On call stat'!$S$3:$T$10,2,FALSE)))&gt;0,"D","DO"),"DO")),
IFERROR(IF(SUMPRODUCT(($B$3:$AG$3=C$16)*($B$5:$AG$7=VLOOKUP($B20,'On call stat'!$S$3:$T$10,2,FALSE)))&gt;0,"D","DO"),"DO"))))))),
IF($B20="Huang Huanrao, Yoyo",IF(MOD(C$13,2)=1,"D1","B6"),
IF($B20="Lee Ka Po, Kathy",IF(MOD(C$13,2)=0,"D1","B6"),
IFERROR(IF(SUMPRODUCT(($B$3:$AG$3=C$16)*($B$5:$AG$7=VLOOKUP($B20,'On call stat'!$S$3:$T$10,2,FALSE)))&gt;0,"E","D"),"D"))))))))</f>
        <v>D</v>
      </c>
      <c r="D20" s="40" t="str">
        <f>IF(COUNTIF(PH!$A:$A,D$16)&gt;0,"PH",
IF(AND(SUMPRODUCT(($B$9:$AG$10=IFERROR(VLOOKUP($B20,'On call stat'!$S$3:$T$20,2,FALSE),""))*($B$3:$AG$3=D$16))&gt;0,OR(WEEKDAY(D$16,2)=6,),OR($B20="Chan, Man Wai",$B20="Ng Suet Ping, Yoko",$B20="Li Mui Ying",$B20="Lee Ka Po, Kathy",$B20="Huang Huanrao, Yoyo")),"HDAL",
IF(OR(WEEKDAY(D$16,2)=7,AND(WEEKDAY(D$16,2)=6,SUMPRODUCT(($B$9:$AG$10=IFERROR(VLOOKUP($B20,'On call stat'!$S$3:$T$20,2,FALSE),""))*($B$3:$AG$3=D$16))&gt;0)),"DO",
IF(SUMPRODUCT(($B$9:$AG$10=IFERROR(VLOOKUP($B20,'On call stat'!$S$3:$T$20,2,FALSE),""))*($B$3:$AG$3=D$16))&gt;0,"AL",
IF(WEEKDAY(D$16,2)=6,
IF($B20="Chan, Man Wai","HD",
IF($B20="Ng Suet Ping, Yoko","HD",
IF($B20="Li Mui Ying","HD1",
IF($B20="Huang Huanrao, Yoyo",IF(MOD(D$13,2)=1,"HD2",IFERROR(IF(SUMPRODUCT(($B$3:$AG$3=D$16)*($B$5:$AG$7=VLOOKUP($B20,'On call stat'!$S$3:$T$10,2,FALSE)))&gt;0,"D","DO"),"DO")),
IF($B20="Lee Ka Po, Kathy",IF(MOD(D$13,2)=0,"HD2",IFERROR(IF(SUMPRODUCT(($B$3:$AG$3=D$16)*($B$5:$AG$7=VLOOKUP($B20,'On call stat'!$S$3:$T$10,2,FALSE)))&gt;0,"D","DO"),"DO")),
IF($B20="Fan Hoi Wan, Ivy",IF(MOD(D$13,2)=0,"D",IFERROR(IF(SUMPRODUCT(($B$3:$AG$3=D$16)*($B$5:$AG$7=VLOOKUP($B20,'On call stat'!$S$3:$T$10,2,FALSE)))&gt;0,"D","DO"),"DO")),
IFERROR(IF(SUMPRODUCT(($B$3:$AG$3=D$16)*($B$5:$AG$7=VLOOKUP($B20,'On call stat'!$S$3:$T$10,2,FALSE)))&gt;0,"D","DO"),"DO"))))))),
IF($B20="Huang Huanrao, Yoyo",IF(MOD(D$13,2)=1,"D1","B6"),
IF($B20="Lee Ka Po, Kathy",IF(MOD(D$13,2)=0,"D1","B6"),
IFERROR(IF(SUMPRODUCT(($B$3:$AG$3=D$16)*($B$5:$AG$7=VLOOKUP($B20,'On call stat'!$S$3:$T$10,2,FALSE)))&gt;0,"E","D"),"D"))))))))</f>
        <v>D</v>
      </c>
      <c r="E20" s="40" t="str">
        <f>IF(COUNTIF(PH!$A:$A,E$16)&gt;0,"PH",
IF(AND(SUMPRODUCT(($B$9:$AG$10=IFERROR(VLOOKUP($B20,'On call stat'!$S$3:$T$20,2,FALSE),""))*($B$3:$AG$3=E$16))&gt;0,OR(WEEKDAY(E$16,2)=6,),OR($B20="Chan, Man Wai",$B20="Ng Suet Ping, Yoko",$B20="Li Mui Ying",$B20="Lee Ka Po, Kathy",$B20="Huang Huanrao, Yoyo")),"HDAL",
IF(OR(WEEKDAY(E$16,2)=7,AND(WEEKDAY(E$16,2)=6,SUMPRODUCT(($B$9:$AG$10=IFERROR(VLOOKUP($B20,'On call stat'!$S$3:$T$20,2,FALSE),""))*($B$3:$AG$3=E$16))&gt;0)),"DO",
IF(SUMPRODUCT(($B$9:$AG$10=IFERROR(VLOOKUP($B20,'On call stat'!$S$3:$T$20,2,FALSE),""))*($B$3:$AG$3=E$16))&gt;0,"AL",
IF(WEEKDAY(E$16,2)=6,
IF($B20="Chan, Man Wai","HD",
IF($B20="Ng Suet Ping, Yoko","HD",
IF($B20="Li Mui Ying","HD1",
IF($B20="Huang Huanrao, Yoyo",IF(MOD(E$13,2)=1,"HD2",IFERROR(IF(SUMPRODUCT(($B$3:$AG$3=E$16)*($B$5:$AG$7=VLOOKUP($B20,'On call stat'!$S$3:$T$10,2,FALSE)))&gt;0,"D","DO"),"DO")),
IF($B20="Lee Ka Po, Kathy",IF(MOD(E$13,2)=0,"HD2",IFERROR(IF(SUMPRODUCT(($B$3:$AG$3=E$16)*($B$5:$AG$7=VLOOKUP($B20,'On call stat'!$S$3:$T$10,2,FALSE)))&gt;0,"D","DO"),"DO")),
IF($B20="Fan Hoi Wan, Ivy",IF(MOD(E$13,2)=0,"D",IFERROR(IF(SUMPRODUCT(($B$3:$AG$3=E$16)*($B$5:$AG$7=VLOOKUP($B20,'On call stat'!$S$3:$T$10,2,FALSE)))&gt;0,"D","DO"),"DO")),
IFERROR(IF(SUMPRODUCT(($B$3:$AG$3=E$16)*($B$5:$AG$7=VLOOKUP($B20,'On call stat'!$S$3:$T$10,2,FALSE)))&gt;0,"D","DO"),"DO"))))))),
IF($B20="Huang Huanrao, Yoyo",IF(MOD(E$13,2)=1,"D1","B6"),
IF($B20="Lee Ka Po, Kathy",IF(MOD(E$13,2)=0,"D1","B6"),
IFERROR(IF(SUMPRODUCT(($B$3:$AG$3=E$16)*($B$5:$AG$7=VLOOKUP($B20,'On call stat'!$S$3:$T$10,2,FALSE)))&gt;0,"E","D"),"D"))))))))</f>
        <v>D</v>
      </c>
      <c r="F20" s="40" t="str">
        <f>IF(COUNTIF(PH!$A:$A,F$16)&gt;0,"PH",
IF(AND(SUMPRODUCT(($B$9:$AG$10=IFERROR(VLOOKUP($B20,'On call stat'!$S$3:$T$20,2,FALSE),""))*($B$3:$AG$3=F$16))&gt;0,OR(WEEKDAY(F$16,2)=6,),OR($B20="Chan, Man Wai",$B20="Ng Suet Ping, Yoko",$B20="Li Mui Ying",$B20="Lee Ka Po, Kathy",$B20="Huang Huanrao, Yoyo")),"HDAL",
IF(OR(WEEKDAY(F$16,2)=7,AND(WEEKDAY(F$16,2)=6,SUMPRODUCT(($B$9:$AG$10=IFERROR(VLOOKUP($B20,'On call stat'!$S$3:$T$20,2,FALSE),""))*($B$3:$AG$3=F$16))&gt;0)),"DO",
IF(SUMPRODUCT(($B$9:$AG$10=IFERROR(VLOOKUP($B20,'On call stat'!$S$3:$T$20,2,FALSE),""))*($B$3:$AG$3=F$16))&gt;0,"AL",
IF(WEEKDAY(F$16,2)=6,
IF($B20="Chan, Man Wai","HD",
IF($B20="Ng Suet Ping, Yoko","HD",
IF($B20="Li Mui Ying","HD1",
IF($B20="Huang Huanrao, Yoyo",IF(MOD(F$13,2)=1,"HD2",IFERROR(IF(SUMPRODUCT(($B$3:$AG$3=F$16)*($B$5:$AG$7=VLOOKUP($B20,'On call stat'!$S$3:$T$10,2,FALSE)))&gt;0,"D","DO"),"DO")),
IF($B20="Lee Ka Po, Kathy",IF(MOD(F$13,2)=0,"HD2",IFERROR(IF(SUMPRODUCT(($B$3:$AG$3=F$16)*($B$5:$AG$7=VLOOKUP($B20,'On call stat'!$S$3:$T$10,2,FALSE)))&gt;0,"D","DO"),"DO")),
IF($B20="Fan Hoi Wan, Ivy",IF(MOD(F$13,2)=0,"D",IFERROR(IF(SUMPRODUCT(($B$3:$AG$3=F$16)*($B$5:$AG$7=VLOOKUP($B20,'On call stat'!$S$3:$T$10,2,FALSE)))&gt;0,"D","DO"),"DO")),
IFERROR(IF(SUMPRODUCT(($B$3:$AG$3=F$16)*($B$5:$AG$7=VLOOKUP($B20,'On call stat'!$S$3:$T$10,2,FALSE)))&gt;0,"D","DO"),"DO"))))))),
IF($B20="Huang Huanrao, Yoyo",IF(MOD(F$13,2)=1,"D1","B6"),
IF($B20="Lee Ka Po, Kathy",IF(MOD(F$13,2)=0,"D1","B6"),
IFERROR(IF(SUMPRODUCT(($B$3:$AG$3=F$16)*($B$5:$AG$7=VLOOKUP($B20,'On call stat'!$S$3:$T$10,2,FALSE)))&gt;0,"E","D"),"D"))))))))</f>
        <v>D</v>
      </c>
      <c r="G20" s="40" t="str">
        <f>IF(COUNTIF(PH!$A:$A,G$16)&gt;0,"PH",
IF(AND(SUMPRODUCT(($B$9:$AG$10=IFERROR(VLOOKUP($B20,'On call stat'!$S$3:$T$20,2,FALSE),""))*($B$3:$AG$3=G$16))&gt;0,OR(WEEKDAY(G$16,2)=6,),OR($B20="Chan, Man Wai",$B20="Ng Suet Ping, Yoko",$B20="Li Mui Ying",$B20="Lee Ka Po, Kathy",$B20="Huang Huanrao, Yoyo")),"HDAL",
IF(OR(WEEKDAY(G$16,2)=7,AND(WEEKDAY(G$16,2)=6,SUMPRODUCT(($B$9:$AG$10=IFERROR(VLOOKUP($B20,'On call stat'!$S$3:$T$20,2,FALSE),""))*($B$3:$AG$3=G$16))&gt;0)),"DO",
IF(SUMPRODUCT(($B$9:$AG$10=IFERROR(VLOOKUP($B20,'On call stat'!$S$3:$T$20,2,FALSE),""))*($B$3:$AG$3=G$16))&gt;0,"AL",
IF(WEEKDAY(G$16,2)=6,
IF($B20="Chan, Man Wai","HD",
IF($B20="Ng Suet Ping, Yoko","HD",
IF($B20="Li Mui Ying","HD1",
IF($B20="Huang Huanrao, Yoyo",IF(MOD(G$13,2)=1,"HD2",IFERROR(IF(SUMPRODUCT(($B$3:$AG$3=G$16)*($B$5:$AG$7=VLOOKUP($B20,'On call stat'!$S$3:$T$10,2,FALSE)))&gt;0,"D","DO"),"DO")),
IF($B20="Lee Ka Po, Kathy",IF(MOD(G$13,2)=0,"HD2",IFERROR(IF(SUMPRODUCT(($B$3:$AG$3=G$16)*($B$5:$AG$7=VLOOKUP($B20,'On call stat'!$S$3:$T$10,2,FALSE)))&gt;0,"D","DO"),"DO")),
IF($B20="Fan Hoi Wan, Ivy",IF(MOD(G$13,2)=0,"D",IFERROR(IF(SUMPRODUCT(($B$3:$AG$3=G$16)*($B$5:$AG$7=VLOOKUP($B20,'On call stat'!$S$3:$T$10,2,FALSE)))&gt;0,"D","DO"),"DO")),
IFERROR(IF(SUMPRODUCT(($B$3:$AG$3=G$16)*($B$5:$AG$7=VLOOKUP($B20,'On call stat'!$S$3:$T$10,2,FALSE)))&gt;0,"D","DO"),"DO"))))))),
IF($B20="Huang Huanrao, Yoyo",IF(MOD(G$13,2)=1,"D1","B6"),
IF($B20="Lee Ka Po, Kathy",IF(MOD(G$13,2)=0,"D1","B6"),
IFERROR(IF(SUMPRODUCT(($B$3:$AG$3=G$16)*($B$5:$AG$7=VLOOKUP($B20,'On call stat'!$S$3:$T$10,2,FALSE)))&gt;0,"E","D"),"D"))))))))</f>
        <v>HD</v>
      </c>
      <c r="H20" s="40" t="str">
        <f>IF(COUNTIF(PH!$A:$A,H$16)&gt;0,"PH",
IF(AND(SUMPRODUCT(($B$9:$AG$10=IFERROR(VLOOKUP($B20,'On call stat'!$S$3:$T$20,2,FALSE),""))*($B$3:$AG$3=H$16))&gt;0,OR(WEEKDAY(H$16,2)=6,),OR($B20="Chan, Man Wai",$B20="Ng Suet Ping, Yoko",$B20="Li Mui Ying",$B20="Lee Ka Po, Kathy",$B20="Huang Huanrao, Yoyo")),"HDAL",
IF(OR(WEEKDAY(H$16,2)=7,AND(WEEKDAY(H$16,2)=6,SUMPRODUCT(($B$9:$AG$10=IFERROR(VLOOKUP($B20,'On call stat'!$S$3:$T$20,2,FALSE),""))*($B$3:$AG$3=H$16))&gt;0)),"DO",
IF(SUMPRODUCT(($B$9:$AG$10=IFERROR(VLOOKUP($B20,'On call stat'!$S$3:$T$20,2,FALSE),""))*($B$3:$AG$3=H$16))&gt;0,"AL",
IF(WEEKDAY(H$16,2)=6,
IF($B20="Chan, Man Wai","HD",
IF($B20="Ng Suet Ping, Yoko","HD",
IF($B20="Li Mui Ying","HD1",
IF($B20="Huang Huanrao, Yoyo",IF(MOD(H$13,2)=1,"HD2",IFERROR(IF(SUMPRODUCT(($B$3:$AG$3=H$16)*($B$5:$AG$7=VLOOKUP($B20,'On call stat'!$S$3:$T$10,2,FALSE)))&gt;0,"D","DO"),"DO")),
IF($B20="Lee Ka Po, Kathy",IF(MOD(H$13,2)=0,"HD2",IFERROR(IF(SUMPRODUCT(($B$3:$AG$3=H$16)*($B$5:$AG$7=VLOOKUP($B20,'On call stat'!$S$3:$T$10,2,FALSE)))&gt;0,"D","DO"),"DO")),
IF($B20="Fan Hoi Wan, Ivy",IF(MOD(H$13,2)=0,"D",IFERROR(IF(SUMPRODUCT(($B$3:$AG$3=H$16)*($B$5:$AG$7=VLOOKUP($B20,'On call stat'!$S$3:$T$10,2,FALSE)))&gt;0,"D","DO"),"DO")),
IFERROR(IF(SUMPRODUCT(($B$3:$AG$3=H$16)*($B$5:$AG$7=VLOOKUP($B20,'On call stat'!$S$3:$T$10,2,FALSE)))&gt;0,"D","DO"),"DO"))))))),
IF($B20="Huang Huanrao, Yoyo",IF(MOD(H$13,2)=1,"D1","B6"),
IF($B20="Lee Ka Po, Kathy",IF(MOD(H$13,2)=0,"D1","B6"),
IFERROR(IF(SUMPRODUCT(($B$3:$AG$3=H$16)*($B$5:$AG$7=VLOOKUP($B20,'On call stat'!$S$3:$T$10,2,FALSE)))&gt;0,"E","D"),"D"))))))))</f>
        <v>DO</v>
      </c>
      <c r="I20" s="40" t="str">
        <f>IF(COUNTIF(PH!$A:$A,I$16)&gt;0,"PH",
IF(AND(SUMPRODUCT(($B$9:$AG$10=IFERROR(VLOOKUP($B20,'On call stat'!$S$3:$T$20,2,FALSE),""))*($B$3:$AG$3=I$16))&gt;0,OR(WEEKDAY(I$16,2)=6,),OR($B20="Chan, Man Wai",$B20="Ng Suet Ping, Yoko",$B20="Li Mui Ying",$B20="Lee Ka Po, Kathy",$B20="Huang Huanrao, Yoyo")),"HDAL",
IF(OR(WEEKDAY(I$16,2)=7,AND(WEEKDAY(I$16,2)=6,SUMPRODUCT(($B$9:$AG$10=IFERROR(VLOOKUP($B20,'On call stat'!$S$3:$T$20,2,FALSE),""))*($B$3:$AG$3=I$16))&gt;0)),"DO",
IF(SUMPRODUCT(($B$9:$AG$10=IFERROR(VLOOKUP($B20,'On call stat'!$S$3:$T$20,2,FALSE),""))*($B$3:$AG$3=I$16))&gt;0,"AL",
IF(WEEKDAY(I$16,2)=6,
IF($B20="Chan, Man Wai","HD",
IF($B20="Ng Suet Ping, Yoko","HD",
IF($B20="Li Mui Ying","HD1",
IF($B20="Huang Huanrao, Yoyo",IF(MOD(I$13,2)=1,"HD2",IFERROR(IF(SUMPRODUCT(($B$3:$AG$3=I$16)*($B$5:$AG$7=VLOOKUP($B20,'On call stat'!$S$3:$T$10,2,FALSE)))&gt;0,"D","DO"),"DO")),
IF($B20="Lee Ka Po, Kathy",IF(MOD(I$13,2)=0,"HD2",IFERROR(IF(SUMPRODUCT(($B$3:$AG$3=I$16)*($B$5:$AG$7=VLOOKUP($B20,'On call stat'!$S$3:$T$10,2,FALSE)))&gt;0,"D","DO"),"DO")),
IF($B20="Fan Hoi Wan, Ivy",IF(MOD(I$13,2)=0,"D",IFERROR(IF(SUMPRODUCT(($B$3:$AG$3=I$16)*($B$5:$AG$7=VLOOKUP($B20,'On call stat'!$S$3:$T$10,2,FALSE)))&gt;0,"D","DO"),"DO")),
IFERROR(IF(SUMPRODUCT(($B$3:$AG$3=I$16)*($B$5:$AG$7=VLOOKUP($B20,'On call stat'!$S$3:$T$10,2,FALSE)))&gt;0,"D","DO"),"DO"))))))),
IF($B20="Huang Huanrao, Yoyo",IF(MOD(I$13,2)=1,"D1","B6"),
IF($B20="Lee Ka Po, Kathy",IF(MOD(I$13,2)=0,"D1","B6"),
IFERROR(IF(SUMPRODUCT(($B$3:$AG$3=I$16)*($B$5:$AG$7=VLOOKUP($B20,'On call stat'!$S$3:$T$10,2,FALSE)))&gt;0,"E","D"),"D"))))))))</f>
        <v>D</v>
      </c>
      <c r="J20" s="40" t="str">
        <f>IF(COUNTIF(PH!$A:$A,J$16)&gt;0,"PH",
IF(AND(SUMPRODUCT(($B$9:$AG$10=IFERROR(VLOOKUP($B20,'On call stat'!$S$3:$T$20,2,FALSE),""))*($B$3:$AG$3=J$16))&gt;0,OR(WEEKDAY(J$16,2)=6,),OR($B20="Chan, Man Wai",$B20="Ng Suet Ping, Yoko",$B20="Li Mui Ying",$B20="Lee Ka Po, Kathy",$B20="Huang Huanrao, Yoyo")),"HDAL",
IF(OR(WEEKDAY(J$16,2)=7,AND(WEEKDAY(J$16,2)=6,SUMPRODUCT(($B$9:$AG$10=IFERROR(VLOOKUP($B20,'On call stat'!$S$3:$T$20,2,FALSE),""))*($B$3:$AG$3=J$16))&gt;0)),"DO",
IF(SUMPRODUCT(($B$9:$AG$10=IFERROR(VLOOKUP($B20,'On call stat'!$S$3:$T$20,2,FALSE),""))*($B$3:$AG$3=J$16))&gt;0,"AL",
IF(WEEKDAY(J$16,2)=6,
IF($B20="Chan, Man Wai","HD",
IF($B20="Ng Suet Ping, Yoko","HD",
IF($B20="Li Mui Ying","HD1",
IF($B20="Huang Huanrao, Yoyo",IF(MOD(J$13,2)=1,"HD2",IFERROR(IF(SUMPRODUCT(($B$3:$AG$3=J$16)*($B$5:$AG$7=VLOOKUP($B20,'On call stat'!$S$3:$T$10,2,FALSE)))&gt;0,"D","DO"),"DO")),
IF($B20="Lee Ka Po, Kathy",IF(MOD(J$13,2)=0,"HD2",IFERROR(IF(SUMPRODUCT(($B$3:$AG$3=J$16)*($B$5:$AG$7=VLOOKUP($B20,'On call stat'!$S$3:$T$10,2,FALSE)))&gt;0,"D","DO"),"DO")),
IF($B20="Fan Hoi Wan, Ivy",IF(MOD(J$13,2)=0,"D",IFERROR(IF(SUMPRODUCT(($B$3:$AG$3=J$16)*($B$5:$AG$7=VLOOKUP($B20,'On call stat'!$S$3:$T$10,2,FALSE)))&gt;0,"D","DO"),"DO")),
IFERROR(IF(SUMPRODUCT(($B$3:$AG$3=J$16)*($B$5:$AG$7=VLOOKUP($B20,'On call stat'!$S$3:$T$10,2,FALSE)))&gt;0,"D","DO"),"DO"))))))),
IF($B20="Huang Huanrao, Yoyo",IF(MOD(J$13,2)=1,"D1","B6"),
IF($B20="Lee Ka Po, Kathy",IF(MOD(J$13,2)=0,"D1","B6"),
IFERROR(IF(SUMPRODUCT(($B$3:$AG$3=J$16)*($B$5:$AG$7=VLOOKUP($B20,'On call stat'!$S$3:$T$10,2,FALSE)))&gt;0,"E","D"),"D"))))))))</f>
        <v>D</v>
      </c>
      <c r="K20" s="40" t="str">
        <f>IF(COUNTIF(PH!$A:$A,K$16)&gt;0,"PH",
IF(AND(SUMPRODUCT(($B$9:$AG$10=IFERROR(VLOOKUP($B20,'On call stat'!$S$3:$T$20,2,FALSE),""))*($B$3:$AG$3=K$16))&gt;0,OR(WEEKDAY(K$16,2)=6,),OR($B20="Chan, Man Wai",$B20="Ng Suet Ping, Yoko",$B20="Li Mui Ying",$B20="Lee Ka Po, Kathy",$B20="Huang Huanrao, Yoyo")),"HDAL",
IF(OR(WEEKDAY(K$16,2)=7,AND(WEEKDAY(K$16,2)=6,SUMPRODUCT(($B$9:$AG$10=IFERROR(VLOOKUP($B20,'On call stat'!$S$3:$T$20,2,FALSE),""))*($B$3:$AG$3=K$16))&gt;0)),"DO",
IF(SUMPRODUCT(($B$9:$AG$10=IFERROR(VLOOKUP($B20,'On call stat'!$S$3:$T$20,2,FALSE),""))*($B$3:$AG$3=K$16))&gt;0,"AL",
IF(WEEKDAY(K$16,2)=6,
IF($B20="Chan, Man Wai","HD",
IF($B20="Ng Suet Ping, Yoko","HD",
IF($B20="Li Mui Ying","HD1",
IF($B20="Huang Huanrao, Yoyo",IF(MOD(K$13,2)=1,"HD2",IFERROR(IF(SUMPRODUCT(($B$3:$AG$3=K$16)*($B$5:$AG$7=VLOOKUP($B20,'On call stat'!$S$3:$T$10,2,FALSE)))&gt;0,"D","DO"),"DO")),
IF($B20="Lee Ka Po, Kathy",IF(MOD(K$13,2)=0,"HD2",IFERROR(IF(SUMPRODUCT(($B$3:$AG$3=K$16)*($B$5:$AG$7=VLOOKUP($B20,'On call stat'!$S$3:$T$10,2,FALSE)))&gt;0,"D","DO"),"DO")),
IF($B20="Fan Hoi Wan, Ivy",IF(MOD(K$13,2)=0,"D",IFERROR(IF(SUMPRODUCT(($B$3:$AG$3=K$16)*($B$5:$AG$7=VLOOKUP($B20,'On call stat'!$S$3:$T$10,2,FALSE)))&gt;0,"D","DO"),"DO")),
IFERROR(IF(SUMPRODUCT(($B$3:$AG$3=K$16)*($B$5:$AG$7=VLOOKUP($B20,'On call stat'!$S$3:$T$10,2,FALSE)))&gt;0,"D","DO"),"DO"))))))),
IF($B20="Huang Huanrao, Yoyo",IF(MOD(K$13,2)=1,"D1","B6"),
IF($B20="Lee Ka Po, Kathy",IF(MOD(K$13,2)=0,"D1","B6"),
IFERROR(IF(SUMPRODUCT(($B$3:$AG$3=K$16)*($B$5:$AG$7=VLOOKUP($B20,'On call stat'!$S$3:$T$10,2,FALSE)))&gt;0,"E","D"),"D"))))))))</f>
        <v>D</v>
      </c>
      <c r="L20" s="40" t="str">
        <f>IF(COUNTIF(PH!$A:$A,L$16)&gt;0,"PH",
IF(AND(SUMPRODUCT(($B$9:$AG$10=IFERROR(VLOOKUP($B20,'On call stat'!$S$3:$T$20,2,FALSE),""))*($B$3:$AG$3=L$16))&gt;0,OR(WEEKDAY(L$16,2)=6,),OR($B20="Chan, Man Wai",$B20="Ng Suet Ping, Yoko",$B20="Li Mui Ying",$B20="Lee Ka Po, Kathy",$B20="Huang Huanrao, Yoyo")),"HDAL",
IF(OR(WEEKDAY(L$16,2)=7,AND(WEEKDAY(L$16,2)=6,SUMPRODUCT(($B$9:$AG$10=IFERROR(VLOOKUP($B20,'On call stat'!$S$3:$T$20,2,FALSE),""))*($B$3:$AG$3=L$16))&gt;0)),"DO",
IF(SUMPRODUCT(($B$9:$AG$10=IFERROR(VLOOKUP($B20,'On call stat'!$S$3:$T$20,2,FALSE),""))*($B$3:$AG$3=L$16))&gt;0,"AL",
IF(WEEKDAY(L$16,2)=6,
IF($B20="Chan, Man Wai","HD",
IF($B20="Ng Suet Ping, Yoko","HD",
IF($B20="Li Mui Ying","HD1",
IF($B20="Huang Huanrao, Yoyo",IF(MOD(L$13,2)=1,"HD2",IFERROR(IF(SUMPRODUCT(($B$3:$AG$3=L$16)*($B$5:$AG$7=VLOOKUP($B20,'On call stat'!$S$3:$T$10,2,FALSE)))&gt;0,"D","DO"),"DO")),
IF($B20="Lee Ka Po, Kathy",IF(MOD(L$13,2)=0,"HD2",IFERROR(IF(SUMPRODUCT(($B$3:$AG$3=L$16)*($B$5:$AG$7=VLOOKUP($B20,'On call stat'!$S$3:$T$10,2,FALSE)))&gt;0,"D","DO"),"DO")),
IF($B20="Fan Hoi Wan, Ivy",IF(MOD(L$13,2)=0,"D",IFERROR(IF(SUMPRODUCT(($B$3:$AG$3=L$16)*($B$5:$AG$7=VLOOKUP($B20,'On call stat'!$S$3:$T$10,2,FALSE)))&gt;0,"D","DO"),"DO")),
IFERROR(IF(SUMPRODUCT(($B$3:$AG$3=L$16)*($B$5:$AG$7=VLOOKUP($B20,'On call stat'!$S$3:$T$10,2,FALSE)))&gt;0,"D","DO"),"DO"))))))),
IF($B20="Huang Huanrao, Yoyo",IF(MOD(L$13,2)=1,"D1","B6"),
IF($B20="Lee Ka Po, Kathy",IF(MOD(L$13,2)=0,"D1","B6"),
IFERROR(IF(SUMPRODUCT(($B$3:$AG$3=L$16)*($B$5:$AG$7=VLOOKUP($B20,'On call stat'!$S$3:$T$10,2,FALSE)))&gt;0,"E","D"),"D"))))))))</f>
        <v>D</v>
      </c>
      <c r="M20" s="40" t="str">
        <f>IF(COUNTIF(PH!$A:$A,M$16)&gt;0,"PH",
IF(AND(SUMPRODUCT(($B$9:$AG$10=IFERROR(VLOOKUP($B20,'On call stat'!$S$3:$T$20,2,FALSE),""))*($B$3:$AG$3=M$16))&gt;0,OR(WEEKDAY(M$16,2)=6,),OR($B20="Chan, Man Wai",$B20="Ng Suet Ping, Yoko",$B20="Li Mui Ying",$B20="Lee Ka Po, Kathy",$B20="Huang Huanrao, Yoyo")),"HDAL",
IF(OR(WEEKDAY(M$16,2)=7,AND(WEEKDAY(M$16,2)=6,SUMPRODUCT(($B$9:$AG$10=IFERROR(VLOOKUP($B20,'On call stat'!$S$3:$T$20,2,FALSE),""))*($B$3:$AG$3=M$16))&gt;0)),"DO",
IF(SUMPRODUCT(($B$9:$AG$10=IFERROR(VLOOKUP($B20,'On call stat'!$S$3:$T$20,2,FALSE),""))*($B$3:$AG$3=M$16))&gt;0,"AL",
IF(WEEKDAY(M$16,2)=6,
IF($B20="Chan, Man Wai","HD",
IF($B20="Ng Suet Ping, Yoko","HD",
IF($B20="Li Mui Ying","HD1",
IF($B20="Huang Huanrao, Yoyo",IF(MOD(M$13,2)=1,"HD2",IFERROR(IF(SUMPRODUCT(($B$3:$AG$3=M$16)*($B$5:$AG$7=VLOOKUP($B20,'On call stat'!$S$3:$T$10,2,FALSE)))&gt;0,"D","DO"),"DO")),
IF($B20="Lee Ka Po, Kathy",IF(MOD(M$13,2)=0,"HD2",IFERROR(IF(SUMPRODUCT(($B$3:$AG$3=M$16)*($B$5:$AG$7=VLOOKUP($B20,'On call stat'!$S$3:$T$10,2,FALSE)))&gt;0,"D","DO"),"DO")),
IF($B20="Fan Hoi Wan, Ivy",IF(MOD(M$13,2)=0,"D",IFERROR(IF(SUMPRODUCT(($B$3:$AG$3=M$16)*($B$5:$AG$7=VLOOKUP($B20,'On call stat'!$S$3:$T$10,2,FALSE)))&gt;0,"D","DO"),"DO")),
IFERROR(IF(SUMPRODUCT(($B$3:$AG$3=M$16)*($B$5:$AG$7=VLOOKUP($B20,'On call stat'!$S$3:$T$10,2,FALSE)))&gt;0,"D","DO"),"DO"))))))),
IF($B20="Huang Huanrao, Yoyo",IF(MOD(M$13,2)=1,"D1","B6"),
IF($B20="Lee Ka Po, Kathy",IF(MOD(M$13,2)=0,"D1","B6"),
IFERROR(IF(SUMPRODUCT(($B$3:$AG$3=M$16)*($B$5:$AG$7=VLOOKUP($B20,'On call stat'!$S$3:$T$10,2,FALSE)))&gt;0,"E","D"),"D"))))))))</f>
        <v>D</v>
      </c>
      <c r="N20" s="40" t="str">
        <f>IF(COUNTIF(PH!$A:$A,N$16)&gt;0,"PH",
IF(AND(SUMPRODUCT(($B$9:$AG$10=IFERROR(VLOOKUP($B20,'On call stat'!$S$3:$T$20,2,FALSE),""))*($B$3:$AG$3=N$16))&gt;0,OR(WEEKDAY(N$16,2)=6,),OR($B20="Chan, Man Wai",$B20="Ng Suet Ping, Yoko",$B20="Li Mui Ying",$B20="Lee Ka Po, Kathy",$B20="Huang Huanrao, Yoyo")),"HDAL",
IF(OR(WEEKDAY(N$16,2)=7,AND(WEEKDAY(N$16,2)=6,SUMPRODUCT(($B$9:$AG$10=IFERROR(VLOOKUP($B20,'On call stat'!$S$3:$T$20,2,FALSE),""))*($B$3:$AG$3=N$16))&gt;0)),"DO",
IF(SUMPRODUCT(($B$9:$AG$10=IFERROR(VLOOKUP($B20,'On call stat'!$S$3:$T$20,2,FALSE),""))*($B$3:$AG$3=N$16))&gt;0,"AL",
IF(WEEKDAY(N$16,2)=6,
IF($B20="Chan, Man Wai","HD",
IF($B20="Ng Suet Ping, Yoko","HD",
IF($B20="Li Mui Ying","HD1",
IF($B20="Huang Huanrao, Yoyo",IF(MOD(N$13,2)=1,"HD2",IFERROR(IF(SUMPRODUCT(($B$3:$AG$3=N$16)*($B$5:$AG$7=VLOOKUP($B20,'On call stat'!$S$3:$T$10,2,FALSE)))&gt;0,"D","DO"),"DO")),
IF($B20="Lee Ka Po, Kathy",IF(MOD(N$13,2)=0,"HD2",IFERROR(IF(SUMPRODUCT(($B$3:$AG$3=N$16)*($B$5:$AG$7=VLOOKUP($B20,'On call stat'!$S$3:$T$10,2,FALSE)))&gt;0,"D","DO"),"DO")),
IF($B20="Fan Hoi Wan, Ivy",IF(MOD(N$13,2)=0,"D",IFERROR(IF(SUMPRODUCT(($B$3:$AG$3=N$16)*($B$5:$AG$7=VLOOKUP($B20,'On call stat'!$S$3:$T$10,2,FALSE)))&gt;0,"D","DO"),"DO")),
IFERROR(IF(SUMPRODUCT(($B$3:$AG$3=N$16)*($B$5:$AG$7=VLOOKUP($B20,'On call stat'!$S$3:$T$10,2,FALSE)))&gt;0,"D","DO"),"DO"))))))),
IF($B20="Huang Huanrao, Yoyo",IF(MOD(N$13,2)=1,"D1","B6"),
IF($B20="Lee Ka Po, Kathy",IF(MOD(N$13,2)=0,"D1","B6"),
IFERROR(IF(SUMPRODUCT(($B$3:$AG$3=N$16)*($B$5:$AG$7=VLOOKUP($B20,'On call stat'!$S$3:$T$10,2,FALSE)))&gt;0,"E","D"),"D"))))))))</f>
        <v>HD</v>
      </c>
      <c r="O20" s="40" t="str">
        <f>IF(COUNTIF(PH!$A:$A,O$16)&gt;0,"PH",
IF(AND(SUMPRODUCT(($B$9:$AG$10=IFERROR(VLOOKUP($B20,'On call stat'!$S$3:$T$20,2,FALSE),""))*($B$3:$AG$3=O$16))&gt;0,OR(WEEKDAY(O$16,2)=6,),OR($B20="Chan, Man Wai",$B20="Ng Suet Ping, Yoko",$B20="Li Mui Ying",$B20="Lee Ka Po, Kathy",$B20="Huang Huanrao, Yoyo")),"HDAL",
IF(OR(WEEKDAY(O$16,2)=7,AND(WEEKDAY(O$16,2)=6,SUMPRODUCT(($B$9:$AG$10=IFERROR(VLOOKUP($B20,'On call stat'!$S$3:$T$20,2,FALSE),""))*($B$3:$AG$3=O$16))&gt;0)),"DO",
IF(SUMPRODUCT(($B$9:$AG$10=IFERROR(VLOOKUP($B20,'On call stat'!$S$3:$T$20,2,FALSE),""))*($B$3:$AG$3=O$16))&gt;0,"AL",
IF(WEEKDAY(O$16,2)=6,
IF($B20="Chan, Man Wai","HD",
IF($B20="Ng Suet Ping, Yoko","HD",
IF($B20="Li Mui Ying","HD1",
IF($B20="Huang Huanrao, Yoyo",IF(MOD(O$13,2)=1,"HD2",IFERROR(IF(SUMPRODUCT(($B$3:$AG$3=O$16)*($B$5:$AG$7=VLOOKUP($B20,'On call stat'!$S$3:$T$10,2,FALSE)))&gt;0,"D","DO"),"DO")),
IF($B20="Lee Ka Po, Kathy",IF(MOD(O$13,2)=0,"HD2",IFERROR(IF(SUMPRODUCT(($B$3:$AG$3=O$16)*($B$5:$AG$7=VLOOKUP($B20,'On call stat'!$S$3:$T$10,2,FALSE)))&gt;0,"D","DO"),"DO")),
IF($B20="Fan Hoi Wan, Ivy",IF(MOD(O$13,2)=0,"D",IFERROR(IF(SUMPRODUCT(($B$3:$AG$3=O$16)*($B$5:$AG$7=VLOOKUP($B20,'On call stat'!$S$3:$T$10,2,FALSE)))&gt;0,"D","DO"),"DO")),
IFERROR(IF(SUMPRODUCT(($B$3:$AG$3=O$16)*($B$5:$AG$7=VLOOKUP($B20,'On call stat'!$S$3:$T$10,2,FALSE)))&gt;0,"D","DO"),"DO"))))))),
IF($B20="Huang Huanrao, Yoyo",IF(MOD(O$13,2)=1,"D1","B6"),
IF($B20="Lee Ka Po, Kathy",IF(MOD(O$13,2)=0,"D1","B6"),
IFERROR(IF(SUMPRODUCT(($B$3:$AG$3=O$16)*($B$5:$AG$7=VLOOKUP($B20,'On call stat'!$S$3:$T$10,2,FALSE)))&gt;0,"E","D"),"D"))))))))</f>
        <v>DO</v>
      </c>
      <c r="P20" s="40" t="str">
        <f>IF(COUNTIF(PH!$A:$A,P$16)&gt;0,"PH",
IF(AND(SUMPRODUCT(($B$9:$AG$10=IFERROR(VLOOKUP($B20,'On call stat'!$S$3:$T$20,2,FALSE),""))*($B$3:$AG$3=P$16))&gt;0,OR(WEEKDAY(P$16,2)=6,),OR($B20="Chan, Man Wai",$B20="Ng Suet Ping, Yoko",$B20="Li Mui Ying",$B20="Lee Ka Po, Kathy",$B20="Huang Huanrao, Yoyo")),"HDAL",
IF(OR(WEEKDAY(P$16,2)=7,AND(WEEKDAY(P$16,2)=6,SUMPRODUCT(($B$9:$AG$10=IFERROR(VLOOKUP($B20,'On call stat'!$S$3:$T$20,2,FALSE),""))*($B$3:$AG$3=P$16))&gt;0)),"DO",
IF(SUMPRODUCT(($B$9:$AG$10=IFERROR(VLOOKUP($B20,'On call stat'!$S$3:$T$20,2,FALSE),""))*($B$3:$AG$3=P$16))&gt;0,"AL",
IF(WEEKDAY(P$16,2)=6,
IF($B20="Chan, Man Wai","HD",
IF($B20="Ng Suet Ping, Yoko","HD",
IF($B20="Li Mui Ying","HD1",
IF($B20="Huang Huanrao, Yoyo",IF(MOD(P$13,2)=1,"HD2",IFERROR(IF(SUMPRODUCT(($B$3:$AG$3=P$16)*($B$5:$AG$7=VLOOKUP($B20,'On call stat'!$S$3:$T$10,2,FALSE)))&gt;0,"D","DO"),"DO")),
IF($B20="Lee Ka Po, Kathy",IF(MOD(P$13,2)=0,"HD2",IFERROR(IF(SUMPRODUCT(($B$3:$AG$3=P$16)*($B$5:$AG$7=VLOOKUP($B20,'On call stat'!$S$3:$T$10,2,FALSE)))&gt;0,"D","DO"),"DO")),
IF($B20="Fan Hoi Wan, Ivy",IF(MOD(P$13,2)=0,"D",IFERROR(IF(SUMPRODUCT(($B$3:$AG$3=P$16)*($B$5:$AG$7=VLOOKUP($B20,'On call stat'!$S$3:$T$10,2,FALSE)))&gt;0,"D","DO"),"DO")),
IFERROR(IF(SUMPRODUCT(($B$3:$AG$3=P$16)*($B$5:$AG$7=VLOOKUP($B20,'On call stat'!$S$3:$T$10,2,FALSE)))&gt;0,"D","DO"),"DO"))))))),
IF($B20="Huang Huanrao, Yoyo",IF(MOD(P$13,2)=1,"D1","B6"),
IF($B20="Lee Ka Po, Kathy",IF(MOD(P$13,2)=0,"D1","B6"),
IFERROR(IF(SUMPRODUCT(($B$3:$AG$3=P$16)*($B$5:$AG$7=VLOOKUP($B20,'On call stat'!$S$3:$T$10,2,FALSE)))&gt;0,"E","D"),"D"))))))))</f>
        <v>D</v>
      </c>
      <c r="Q20" s="40" t="str">
        <f>IF(COUNTIF(PH!$A:$A,Q$16)&gt;0,"PH",
IF(AND(SUMPRODUCT(($B$9:$AG$10=IFERROR(VLOOKUP($B20,'On call stat'!$S$3:$T$20,2,FALSE),""))*($B$3:$AG$3=Q$16))&gt;0,OR(WEEKDAY(Q$16,2)=6,),OR($B20="Chan, Man Wai",$B20="Ng Suet Ping, Yoko",$B20="Li Mui Ying",$B20="Lee Ka Po, Kathy",$B20="Huang Huanrao, Yoyo")),"HDAL",
IF(OR(WEEKDAY(Q$16,2)=7,AND(WEEKDAY(Q$16,2)=6,SUMPRODUCT(($B$9:$AG$10=IFERROR(VLOOKUP($B20,'On call stat'!$S$3:$T$20,2,FALSE),""))*($B$3:$AG$3=Q$16))&gt;0)),"DO",
IF(SUMPRODUCT(($B$9:$AG$10=IFERROR(VLOOKUP($B20,'On call stat'!$S$3:$T$20,2,FALSE),""))*($B$3:$AG$3=Q$16))&gt;0,"AL",
IF(WEEKDAY(Q$16,2)=6,
IF($B20="Chan, Man Wai","HD",
IF($B20="Ng Suet Ping, Yoko","HD",
IF($B20="Li Mui Ying","HD1",
IF($B20="Huang Huanrao, Yoyo",IF(MOD(Q$13,2)=1,"HD2",IFERROR(IF(SUMPRODUCT(($B$3:$AG$3=Q$16)*($B$5:$AG$7=VLOOKUP($B20,'On call stat'!$S$3:$T$10,2,FALSE)))&gt;0,"D","DO"),"DO")),
IF($B20="Lee Ka Po, Kathy",IF(MOD(Q$13,2)=0,"HD2",IFERROR(IF(SUMPRODUCT(($B$3:$AG$3=Q$16)*($B$5:$AG$7=VLOOKUP($B20,'On call stat'!$S$3:$T$10,2,FALSE)))&gt;0,"D","DO"),"DO")),
IF($B20="Fan Hoi Wan, Ivy",IF(MOD(Q$13,2)=0,"D",IFERROR(IF(SUMPRODUCT(($B$3:$AG$3=Q$16)*($B$5:$AG$7=VLOOKUP($B20,'On call stat'!$S$3:$T$10,2,FALSE)))&gt;0,"D","DO"),"DO")),
IFERROR(IF(SUMPRODUCT(($B$3:$AG$3=Q$16)*($B$5:$AG$7=VLOOKUP($B20,'On call stat'!$S$3:$T$10,2,FALSE)))&gt;0,"D","DO"),"DO"))))))),
IF($B20="Huang Huanrao, Yoyo",IF(MOD(Q$13,2)=1,"D1","B6"),
IF($B20="Lee Ka Po, Kathy",IF(MOD(Q$13,2)=0,"D1","B6"),
IFERROR(IF(SUMPRODUCT(($B$3:$AG$3=Q$16)*($B$5:$AG$7=VLOOKUP($B20,'On call stat'!$S$3:$T$10,2,FALSE)))&gt;0,"E","D"),"D"))))))))</f>
        <v>D</v>
      </c>
      <c r="R20" s="40" t="str">
        <f>IF(COUNTIF(PH!$A:$A,R$16)&gt;0,"PH",
IF(AND(SUMPRODUCT(($B$9:$AG$10=IFERROR(VLOOKUP($B20,'On call stat'!$S$3:$T$20,2,FALSE),""))*($B$3:$AG$3=R$16))&gt;0,OR(WEEKDAY(R$16,2)=6,),OR($B20="Chan, Man Wai",$B20="Ng Suet Ping, Yoko",$B20="Li Mui Ying",$B20="Lee Ka Po, Kathy",$B20="Huang Huanrao, Yoyo")),"HDAL",
IF(OR(WEEKDAY(R$16,2)=7,AND(WEEKDAY(R$16,2)=6,SUMPRODUCT(($B$9:$AG$10=IFERROR(VLOOKUP($B20,'On call stat'!$S$3:$T$20,2,FALSE),""))*($B$3:$AG$3=R$16))&gt;0)),"DO",
IF(SUMPRODUCT(($B$9:$AG$10=IFERROR(VLOOKUP($B20,'On call stat'!$S$3:$T$20,2,FALSE),""))*($B$3:$AG$3=R$16))&gt;0,"AL",
IF(WEEKDAY(R$16,2)=6,
IF($B20="Chan, Man Wai","HD",
IF($B20="Ng Suet Ping, Yoko","HD",
IF($B20="Li Mui Ying","HD1",
IF($B20="Huang Huanrao, Yoyo",IF(MOD(R$13,2)=1,"HD2",IFERROR(IF(SUMPRODUCT(($B$3:$AG$3=R$16)*($B$5:$AG$7=VLOOKUP($B20,'On call stat'!$S$3:$T$10,2,FALSE)))&gt;0,"D","DO"),"DO")),
IF($B20="Lee Ka Po, Kathy",IF(MOD(R$13,2)=0,"HD2",IFERROR(IF(SUMPRODUCT(($B$3:$AG$3=R$16)*($B$5:$AG$7=VLOOKUP($B20,'On call stat'!$S$3:$T$10,2,FALSE)))&gt;0,"D","DO"),"DO")),
IF($B20="Fan Hoi Wan, Ivy",IF(MOD(R$13,2)=0,"D",IFERROR(IF(SUMPRODUCT(($B$3:$AG$3=R$16)*($B$5:$AG$7=VLOOKUP($B20,'On call stat'!$S$3:$T$10,2,FALSE)))&gt;0,"D","DO"),"DO")),
IFERROR(IF(SUMPRODUCT(($B$3:$AG$3=R$16)*($B$5:$AG$7=VLOOKUP($B20,'On call stat'!$S$3:$T$10,2,FALSE)))&gt;0,"D","DO"),"DO"))))))),
IF($B20="Huang Huanrao, Yoyo",IF(MOD(R$13,2)=1,"D1","B6"),
IF($B20="Lee Ka Po, Kathy",IF(MOD(R$13,2)=0,"D1","B6"),
IFERROR(IF(SUMPRODUCT(($B$3:$AG$3=R$16)*($B$5:$AG$7=VLOOKUP($B20,'On call stat'!$S$3:$T$10,2,FALSE)))&gt;0,"E","D"),"D"))))))))</f>
        <v>D</v>
      </c>
      <c r="S20" s="40" t="str">
        <f>IF(COUNTIF(PH!$A:$A,S$16)&gt;0,"PH",
IF(AND(SUMPRODUCT(($B$9:$AG$10=IFERROR(VLOOKUP($B20,'On call stat'!$S$3:$T$20,2,FALSE),""))*($B$3:$AG$3=S$16))&gt;0,OR(WEEKDAY(S$16,2)=6,),OR($B20="Chan, Man Wai",$B20="Ng Suet Ping, Yoko",$B20="Li Mui Ying",$B20="Lee Ka Po, Kathy",$B20="Huang Huanrao, Yoyo")),"HDAL",
IF(OR(WEEKDAY(S$16,2)=7,AND(WEEKDAY(S$16,2)=6,SUMPRODUCT(($B$9:$AG$10=IFERROR(VLOOKUP($B20,'On call stat'!$S$3:$T$20,2,FALSE),""))*($B$3:$AG$3=S$16))&gt;0)),"DO",
IF(SUMPRODUCT(($B$9:$AG$10=IFERROR(VLOOKUP($B20,'On call stat'!$S$3:$T$20,2,FALSE),""))*($B$3:$AG$3=S$16))&gt;0,"AL",
IF(WEEKDAY(S$16,2)=6,
IF($B20="Chan, Man Wai","HD",
IF($B20="Ng Suet Ping, Yoko","HD",
IF($B20="Li Mui Ying","HD1",
IF($B20="Huang Huanrao, Yoyo",IF(MOD(S$13,2)=1,"HD2",IFERROR(IF(SUMPRODUCT(($B$3:$AG$3=S$16)*($B$5:$AG$7=VLOOKUP($B20,'On call stat'!$S$3:$T$10,2,FALSE)))&gt;0,"D","DO"),"DO")),
IF($B20="Lee Ka Po, Kathy",IF(MOD(S$13,2)=0,"HD2",IFERROR(IF(SUMPRODUCT(($B$3:$AG$3=S$16)*($B$5:$AG$7=VLOOKUP($B20,'On call stat'!$S$3:$T$10,2,FALSE)))&gt;0,"D","DO"),"DO")),
IF($B20="Fan Hoi Wan, Ivy",IF(MOD(S$13,2)=0,"D",IFERROR(IF(SUMPRODUCT(($B$3:$AG$3=S$16)*($B$5:$AG$7=VLOOKUP($B20,'On call stat'!$S$3:$T$10,2,FALSE)))&gt;0,"D","DO"),"DO")),
IFERROR(IF(SUMPRODUCT(($B$3:$AG$3=S$16)*($B$5:$AG$7=VLOOKUP($B20,'On call stat'!$S$3:$T$10,2,FALSE)))&gt;0,"D","DO"),"DO"))))))),
IF($B20="Huang Huanrao, Yoyo",IF(MOD(S$13,2)=1,"D1","B6"),
IF($B20="Lee Ka Po, Kathy",IF(MOD(S$13,2)=0,"D1","B6"),
IFERROR(IF(SUMPRODUCT(($B$3:$AG$3=S$16)*($B$5:$AG$7=VLOOKUP($B20,'On call stat'!$S$3:$T$10,2,FALSE)))&gt;0,"E","D"),"D"))))))))</f>
        <v>D</v>
      </c>
      <c r="T20" s="40" t="str">
        <f>IF(COUNTIF(PH!$A:$A,T$16)&gt;0,"PH",
IF(AND(SUMPRODUCT(($B$9:$AG$10=IFERROR(VLOOKUP($B20,'On call stat'!$S$3:$T$20,2,FALSE),""))*($B$3:$AG$3=T$16))&gt;0,OR(WEEKDAY(T$16,2)=6,),OR($B20="Chan, Man Wai",$B20="Ng Suet Ping, Yoko",$B20="Li Mui Ying",$B20="Lee Ka Po, Kathy",$B20="Huang Huanrao, Yoyo")),"HDAL",
IF(OR(WEEKDAY(T$16,2)=7,AND(WEEKDAY(T$16,2)=6,SUMPRODUCT(($B$9:$AG$10=IFERROR(VLOOKUP($B20,'On call stat'!$S$3:$T$20,2,FALSE),""))*($B$3:$AG$3=T$16))&gt;0)),"DO",
IF(SUMPRODUCT(($B$9:$AG$10=IFERROR(VLOOKUP($B20,'On call stat'!$S$3:$T$20,2,FALSE),""))*($B$3:$AG$3=T$16))&gt;0,"AL",
IF(WEEKDAY(T$16,2)=6,
IF($B20="Chan, Man Wai","HD",
IF($B20="Ng Suet Ping, Yoko","HD",
IF($B20="Li Mui Ying","HD1",
IF($B20="Huang Huanrao, Yoyo",IF(MOD(T$13,2)=1,"HD2",IFERROR(IF(SUMPRODUCT(($B$3:$AG$3=T$16)*($B$5:$AG$7=VLOOKUP($B20,'On call stat'!$S$3:$T$10,2,FALSE)))&gt;0,"D","DO"),"DO")),
IF($B20="Lee Ka Po, Kathy",IF(MOD(T$13,2)=0,"HD2",IFERROR(IF(SUMPRODUCT(($B$3:$AG$3=T$16)*($B$5:$AG$7=VLOOKUP($B20,'On call stat'!$S$3:$T$10,2,FALSE)))&gt;0,"D","DO"),"DO")),
IF($B20="Fan Hoi Wan, Ivy",IF(MOD(T$13,2)=0,"D",IFERROR(IF(SUMPRODUCT(($B$3:$AG$3=T$16)*($B$5:$AG$7=VLOOKUP($B20,'On call stat'!$S$3:$T$10,2,FALSE)))&gt;0,"D","DO"),"DO")),
IFERROR(IF(SUMPRODUCT(($B$3:$AG$3=T$16)*($B$5:$AG$7=VLOOKUP($B20,'On call stat'!$S$3:$T$10,2,FALSE)))&gt;0,"D","DO"),"DO"))))))),
IF($B20="Huang Huanrao, Yoyo",IF(MOD(T$13,2)=1,"D1","B6"),
IF($B20="Lee Ka Po, Kathy",IF(MOD(T$13,2)=0,"D1","B6"),
IFERROR(IF(SUMPRODUCT(($B$3:$AG$3=T$16)*($B$5:$AG$7=VLOOKUP($B20,'On call stat'!$S$3:$T$10,2,FALSE)))&gt;0,"E","D"),"D"))))))))</f>
        <v>D</v>
      </c>
      <c r="U20" s="40" t="str">
        <f>IF(COUNTIF(PH!$A:$A,U$16)&gt;0,"PH",
IF(AND(SUMPRODUCT(($B$9:$AG$10=IFERROR(VLOOKUP($B20,'On call stat'!$S$3:$T$20,2,FALSE),""))*($B$3:$AG$3=U$16))&gt;0,OR(WEEKDAY(U$16,2)=6,),OR($B20="Chan, Man Wai",$B20="Ng Suet Ping, Yoko",$B20="Li Mui Ying",$B20="Lee Ka Po, Kathy",$B20="Huang Huanrao, Yoyo")),"HDAL",
IF(OR(WEEKDAY(U$16,2)=7,AND(WEEKDAY(U$16,2)=6,SUMPRODUCT(($B$9:$AG$10=IFERROR(VLOOKUP($B20,'On call stat'!$S$3:$T$20,2,FALSE),""))*($B$3:$AG$3=U$16))&gt;0)),"DO",
IF(SUMPRODUCT(($B$9:$AG$10=IFERROR(VLOOKUP($B20,'On call stat'!$S$3:$T$20,2,FALSE),""))*($B$3:$AG$3=U$16))&gt;0,"AL",
IF(WEEKDAY(U$16,2)=6,
IF($B20="Chan, Man Wai","HD",
IF($B20="Ng Suet Ping, Yoko","HD",
IF($B20="Li Mui Ying","HD1",
IF($B20="Huang Huanrao, Yoyo",IF(MOD(U$13,2)=1,"HD2",IFERROR(IF(SUMPRODUCT(($B$3:$AG$3=U$16)*($B$5:$AG$7=VLOOKUP($B20,'On call stat'!$S$3:$T$10,2,FALSE)))&gt;0,"D","DO"),"DO")),
IF($B20="Lee Ka Po, Kathy",IF(MOD(U$13,2)=0,"HD2",IFERROR(IF(SUMPRODUCT(($B$3:$AG$3=U$16)*($B$5:$AG$7=VLOOKUP($B20,'On call stat'!$S$3:$T$10,2,FALSE)))&gt;0,"D","DO"),"DO")),
IF($B20="Fan Hoi Wan, Ivy",IF(MOD(U$13,2)=0,"D",IFERROR(IF(SUMPRODUCT(($B$3:$AG$3=U$16)*($B$5:$AG$7=VLOOKUP($B20,'On call stat'!$S$3:$T$10,2,FALSE)))&gt;0,"D","DO"),"DO")),
IFERROR(IF(SUMPRODUCT(($B$3:$AG$3=U$16)*($B$5:$AG$7=VLOOKUP($B20,'On call stat'!$S$3:$T$10,2,FALSE)))&gt;0,"D","DO"),"DO"))))))),
IF($B20="Huang Huanrao, Yoyo",IF(MOD(U$13,2)=1,"D1","B6"),
IF($B20="Lee Ka Po, Kathy",IF(MOD(U$13,2)=0,"D1","B6"),
IFERROR(IF(SUMPRODUCT(($B$3:$AG$3=U$16)*($B$5:$AG$7=VLOOKUP($B20,'On call stat'!$S$3:$T$10,2,FALSE)))&gt;0,"E","D"),"D"))))))))</f>
        <v>HD</v>
      </c>
      <c r="V20" s="40" t="str">
        <f>IF(COUNTIF(PH!$A:$A,V$16)&gt;0,"PH",
IF(AND(SUMPRODUCT(($B$9:$AG$10=IFERROR(VLOOKUP($B20,'On call stat'!$S$3:$T$20,2,FALSE),""))*($B$3:$AG$3=V$16))&gt;0,OR(WEEKDAY(V$16,2)=6,),OR($B20="Chan, Man Wai",$B20="Ng Suet Ping, Yoko",$B20="Li Mui Ying",$B20="Lee Ka Po, Kathy",$B20="Huang Huanrao, Yoyo")),"HDAL",
IF(OR(WEEKDAY(V$16,2)=7,AND(WEEKDAY(V$16,2)=6,SUMPRODUCT(($B$9:$AG$10=IFERROR(VLOOKUP($B20,'On call stat'!$S$3:$T$20,2,FALSE),""))*($B$3:$AG$3=V$16))&gt;0)),"DO",
IF(SUMPRODUCT(($B$9:$AG$10=IFERROR(VLOOKUP($B20,'On call stat'!$S$3:$T$20,2,FALSE),""))*($B$3:$AG$3=V$16))&gt;0,"AL",
IF(WEEKDAY(V$16,2)=6,
IF($B20="Chan, Man Wai","HD",
IF($B20="Ng Suet Ping, Yoko","HD",
IF($B20="Li Mui Ying","HD1",
IF($B20="Huang Huanrao, Yoyo",IF(MOD(V$13,2)=1,"HD2",IFERROR(IF(SUMPRODUCT(($B$3:$AG$3=V$16)*($B$5:$AG$7=VLOOKUP($B20,'On call stat'!$S$3:$T$10,2,FALSE)))&gt;0,"D","DO"),"DO")),
IF($B20="Lee Ka Po, Kathy",IF(MOD(V$13,2)=0,"HD2",IFERROR(IF(SUMPRODUCT(($B$3:$AG$3=V$16)*($B$5:$AG$7=VLOOKUP($B20,'On call stat'!$S$3:$T$10,2,FALSE)))&gt;0,"D","DO"),"DO")),
IF($B20="Fan Hoi Wan, Ivy",IF(MOD(V$13,2)=0,"D",IFERROR(IF(SUMPRODUCT(($B$3:$AG$3=V$16)*($B$5:$AG$7=VLOOKUP($B20,'On call stat'!$S$3:$T$10,2,FALSE)))&gt;0,"D","DO"),"DO")),
IFERROR(IF(SUMPRODUCT(($B$3:$AG$3=V$16)*($B$5:$AG$7=VLOOKUP($B20,'On call stat'!$S$3:$T$10,2,FALSE)))&gt;0,"D","DO"),"DO"))))))),
IF($B20="Huang Huanrao, Yoyo",IF(MOD(V$13,2)=1,"D1","B6"),
IF($B20="Lee Ka Po, Kathy",IF(MOD(V$13,2)=0,"D1","B6"),
IFERROR(IF(SUMPRODUCT(($B$3:$AG$3=V$16)*($B$5:$AG$7=VLOOKUP($B20,'On call stat'!$S$3:$T$10,2,FALSE)))&gt;0,"E","D"),"D"))))))))</f>
        <v>DO</v>
      </c>
      <c r="W20" s="40" t="str">
        <f>IF(COUNTIF(PH!$A:$A,W$16)&gt;0,"PH",
IF(AND(SUMPRODUCT(($B$9:$AG$10=IFERROR(VLOOKUP($B20,'On call stat'!$S$3:$T$20,2,FALSE),""))*($B$3:$AG$3=W$16))&gt;0,OR(WEEKDAY(W$16,2)=6,),OR($B20="Chan, Man Wai",$B20="Ng Suet Ping, Yoko",$B20="Li Mui Ying",$B20="Lee Ka Po, Kathy",$B20="Huang Huanrao, Yoyo")),"HDAL",
IF(OR(WEEKDAY(W$16,2)=7,AND(WEEKDAY(W$16,2)=6,SUMPRODUCT(($B$9:$AG$10=IFERROR(VLOOKUP($B20,'On call stat'!$S$3:$T$20,2,FALSE),""))*($B$3:$AG$3=W$16))&gt;0)),"DO",
IF(SUMPRODUCT(($B$9:$AG$10=IFERROR(VLOOKUP($B20,'On call stat'!$S$3:$T$20,2,FALSE),""))*($B$3:$AG$3=W$16))&gt;0,"AL",
IF(WEEKDAY(W$16,2)=6,
IF($B20="Chan, Man Wai","HD",
IF($B20="Ng Suet Ping, Yoko","HD",
IF($B20="Li Mui Ying","HD1",
IF($B20="Huang Huanrao, Yoyo",IF(MOD(W$13,2)=1,"HD2",IFERROR(IF(SUMPRODUCT(($B$3:$AG$3=W$16)*($B$5:$AG$7=VLOOKUP($B20,'On call stat'!$S$3:$T$10,2,FALSE)))&gt;0,"D","DO"),"DO")),
IF($B20="Lee Ka Po, Kathy",IF(MOD(W$13,2)=0,"HD2",IFERROR(IF(SUMPRODUCT(($B$3:$AG$3=W$16)*($B$5:$AG$7=VLOOKUP($B20,'On call stat'!$S$3:$T$10,2,FALSE)))&gt;0,"D","DO"),"DO")),
IF($B20="Fan Hoi Wan, Ivy",IF(MOD(W$13,2)=0,"D",IFERROR(IF(SUMPRODUCT(($B$3:$AG$3=W$16)*($B$5:$AG$7=VLOOKUP($B20,'On call stat'!$S$3:$T$10,2,FALSE)))&gt;0,"D","DO"),"DO")),
IFERROR(IF(SUMPRODUCT(($B$3:$AG$3=W$16)*($B$5:$AG$7=VLOOKUP($B20,'On call stat'!$S$3:$T$10,2,FALSE)))&gt;0,"D","DO"),"DO"))))))),
IF($B20="Huang Huanrao, Yoyo",IF(MOD(W$13,2)=1,"D1","B6"),
IF($B20="Lee Ka Po, Kathy",IF(MOD(W$13,2)=0,"D1","B6"),
IFERROR(IF(SUMPRODUCT(($B$3:$AG$3=W$16)*($B$5:$AG$7=VLOOKUP($B20,'On call stat'!$S$3:$T$10,2,FALSE)))&gt;0,"E","D"),"D"))))))))</f>
        <v>D</v>
      </c>
      <c r="X20" s="40" t="str">
        <f>IF(COUNTIF(PH!$A:$A,X$16)&gt;0,"PH",
IF(AND(SUMPRODUCT(($B$9:$AG$10=IFERROR(VLOOKUP($B20,'On call stat'!$S$3:$T$20,2,FALSE),""))*($B$3:$AG$3=X$16))&gt;0,OR(WEEKDAY(X$16,2)=6,),OR($B20="Chan, Man Wai",$B20="Ng Suet Ping, Yoko",$B20="Li Mui Ying",$B20="Lee Ka Po, Kathy",$B20="Huang Huanrao, Yoyo")),"HDAL",
IF(OR(WEEKDAY(X$16,2)=7,AND(WEEKDAY(X$16,2)=6,SUMPRODUCT(($B$9:$AG$10=IFERROR(VLOOKUP($B20,'On call stat'!$S$3:$T$20,2,FALSE),""))*($B$3:$AG$3=X$16))&gt;0)),"DO",
IF(SUMPRODUCT(($B$9:$AG$10=IFERROR(VLOOKUP($B20,'On call stat'!$S$3:$T$20,2,FALSE),""))*($B$3:$AG$3=X$16))&gt;0,"AL",
IF(WEEKDAY(X$16,2)=6,
IF($B20="Chan, Man Wai","HD",
IF($B20="Ng Suet Ping, Yoko","HD",
IF($B20="Li Mui Ying","HD1",
IF($B20="Huang Huanrao, Yoyo",IF(MOD(X$13,2)=1,"HD2",IFERROR(IF(SUMPRODUCT(($B$3:$AG$3=X$16)*($B$5:$AG$7=VLOOKUP($B20,'On call stat'!$S$3:$T$10,2,FALSE)))&gt;0,"D","DO"),"DO")),
IF($B20="Lee Ka Po, Kathy",IF(MOD(X$13,2)=0,"HD2",IFERROR(IF(SUMPRODUCT(($B$3:$AG$3=X$16)*($B$5:$AG$7=VLOOKUP($B20,'On call stat'!$S$3:$T$10,2,FALSE)))&gt;0,"D","DO"),"DO")),
IF($B20="Fan Hoi Wan, Ivy",IF(MOD(X$13,2)=0,"D",IFERROR(IF(SUMPRODUCT(($B$3:$AG$3=X$16)*($B$5:$AG$7=VLOOKUP($B20,'On call stat'!$S$3:$T$10,2,FALSE)))&gt;0,"D","DO"),"DO")),
IFERROR(IF(SUMPRODUCT(($B$3:$AG$3=X$16)*($B$5:$AG$7=VLOOKUP($B20,'On call stat'!$S$3:$T$10,2,FALSE)))&gt;0,"D","DO"),"DO"))))))),
IF($B20="Huang Huanrao, Yoyo",IF(MOD(X$13,2)=1,"D1","B6"),
IF($B20="Lee Ka Po, Kathy",IF(MOD(X$13,2)=0,"D1","B6"),
IFERROR(IF(SUMPRODUCT(($B$3:$AG$3=X$16)*($B$5:$AG$7=VLOOKUP($B20,'On call stat'!$S$3:$T$10,2,FALSE)))&gt;0,"E","D"),"D"))))))))</f>
        <v>D</v>
      </c>
      <c r="Y20" s="40" t="str">
        <f>IF(COUNTIF(PH!$A:$A,Y$16)&gt;0,"PH",
IF(AND(SUMPRODUCT(($B$9:$AG$10=IFERROR(VLOOKUP($B20,'On call stat'!$S$3:$T$20,2,FALSE),""))*($B$3:$AG$3=Y$16))&gt;0,OR(WEEKDAY(Y$16,2)=6,),OR($B20="Chan, Man Wai",$B20="Ng Suet Ping, Yoko",$B20="Li Mui Ying",$B20="Lee Ka Po, Kathy",$B20="Huang Huanrao, Yoyo")),"HDAL",
IF(OR(WEEKDAY(Y$16,2)=7,AND(WEEKDAY(Y$16,2)=6,SUMPRODUCT(($B$9:$AG$10=IFERROR(VLOOKUP($B20,'On call stat'!$S$3:$T$20,2,FALSE),""))*($B$3:$AG$3=Y$16))&gt;0)),"DO",
IF(SUMPRODUCT(($B$9:$AG$10=IFERROR(VLOOKUP($B20,'On call stat'!$S$3:$T$20,2,FALSE),""))*($B$3:$AG$3=Y$16))&gt;0,"AL",
IF(WEEKDAY(Y$16,2)=6,
IF($B20="Chan, Man Wai","HD",
IF($B20="Ng Suet Ping, Yoko","HD",
IF($B20="Li Mui Ying","HD1",
IF($B20="Huang Huanrao, Yoyo",IF(MOD(Y$13,2)=1,"HD2",IFERROR(IF(SUMPRODUCT(($B$3:$AG$3=Y$16)*($B$5:$AG$7=VLOOKUP($B20,'On call stat'!$S$3:$T$10,2,FALSE)))&gt;0,"D","DO"),"DO")),
IF($B20="Lee Ka Po, Kathy",IF(MOD(Y$13,2)=0,"HD2",IFERROR(IF(SUMPRODUCT(($B$3:$AG$3=Y$16)*($B$5:$AG$7=VLOOKUP($B20,'On call stat'!$S$3:$T$10,2,FALSE)))&gt;0,"D","DO"),"DO")),
IF($B20="Fan Hoi Wan, Ivy",IF(MOD(Y$13,2)=0,"D",IFERROR(IF(SUMPRODUCT(($B$3:$AG$3=Y$16)*($B$5:$AG$7=VLOOKUP($B20,'On call stat'!$S$3:$T$10,2,FALSE)))&gt;0,"D","DO"),"DO")),
IFERROR(IF(SUMPRODUCT(($B$3:$AG$3=Y$16)*($B$5:$AG$7=VLOOKUP($B20,'On call stat'!$S$3:$T$10,2,FALSE)))&gt;0,"D","DO"),"DO"))))))),
IF($B20="Huang Huanrao, Yoyo",IF(MOD(Y$13,2)=1,"D1","B6"),
IF($B20="Lee Ka Po, Kathy",IF(MOD(Y$13,2)=0,"D1","B6"),
IFERROR(IF(SUMPRODUCT(($B$3:$AG$3=Y$16)*($B$5:$AG$7=VLOOKUP($B20,'On call stat'!$S$3:$T$10,2,FALSE)))&gt;0,"E","D"),"D"))))))))</f>
        <v>D</v>
      </c>
      <c r="Z20" s="40" t="str">
        <f>IF(COUNTIF(PH!$A:$A,Z$16)&gt;0,"PH",
IF(AND(SUMPRODUCT(($B$9:$AG$10=IFERROR(VLOOKUP($B20,'On call stat'!$S$3:$T$20,2,FALSE),""))*($B$3:$AG$3=Z$16))&gt;0,OR(WEEKDAY(Z$16,2)=6,),OR($B20="Chan, Man Wai",$B20="Ng Suet Ping, Yoko",$B20="Li Mui Ying",$B20="Lee Ka Po, Kathy",$B20="Huang Huanrao, Yoyo")),"HDAL",
IF(OR(WEEKDAY(Z$16,2)=7,AND(WEEKDAY(Z$16,2)=6,SUMPRODUCT(($B$9:$AG$10=IFERROR(VLOOKUP($B20,'On call stat'!$S$3:$T$20,2,FALSE),""))*($B$3:$AG$3=Z$16))&gt;0)),"DO",
IF(SUMPRODUCT(($B$9:$AG$10=IFERROR(VLOOKUP($B20,'On call stat'!$S$3:$T$20,2,FALSE),""))*($B$3:$AG$3=Z$16))&gt;0,"AL",
IF(WEEKDAY(Z$16,2)=6,
IF($B20="Chan, Man Wai","HD",
IF($B20="Ng Suet Ping, Yoko","HD",
IF($B20="Li Mui Ying","HD1",
IF($B20="Huang Huanrao, Yoyo",IF(MOD(Z$13,2)=1,"HD2",IFERROR(IF(SUMPRODUCT(($B$3:$AG$3=Z$16)*($B$5:$AG$7=VLOOKUP($B20,'On call stat'!$S$3:$T$10,2,FALSE)))&gt;0,"D","DO"),"DO")),
IF($B20="Lee Ka Po, Kathy",IF(MOD(Z$13,2)=0,"HD2",IFERROR(IF(SUMPRODUCT(($B$3:$AG$3=Z$16)*($B$5:$AG$7=VLOOKUP($B20,'On call stat'!$S$3:$T$10,2,FALSE)))&gt;0,"D","DO"),"DO")),
IF($B20="Fan Hoi Wan, Ivy",IF(MOD(Z$13,2)=0,"D",IFERROR(IF(SUMPRODUCT(($B$3:$AG$3=Z$16)*($B$5:$AG$7=VLOOKUP($B20,'On call stat'!$S$3:$T$10,2,FALSE)))&gt;0,"D","DO"),"DO")),
IFERROR(IF(SUMPRODUCT(($B$3:$AG$3=Z$16)*($B$5:$AG$7=VLOOKUP($B20,'On call stat'!$S$3:$T$10,2,FALSE)))&gt;0,"D","DO"),"DO"))))))),
IF($B20="Huang Huanrao, Yoyo",IF(MOD(Z$13,2)=1,"D1","B6"),
IF($B20="Lee Ka Po, Kathy",IF(MOD(Z$13,2)=0,"D1","B6"),
IFERROR(IF(SUMPRODUCT(($B$3:$AG$3=Z$16)*($B$5:$AG$7=VLOOKUP($B20,'On call stat'!$S$3:$T$10,2,FALSE)))&gt;0,"E","D"),"D"))))))))</f>
        <v>D</v>
      </c>
      <c r="AA20" s="40" t="str">
        <f>IF(COUNTIF(PH!$A:$A,AA$16)&gt;0,"PH",
IF(AND(SUMPRODUCT(($B$9:$AG$10=IFERROR(VLOOKUP($B20,'On call stat'!$S$3:$T$20,2,FALSE),""))*($B$3:$AG$3=AA$16))&gt;0,OR(WEEKDAY(AA$16,2)=6,),OR($B20="Chan, Man Wai",$B20="Ng Suet Ping, Yoko",$B20="Li Mui Ying",$B20="Lee Ka Po, Kathy",$B20="Huang Huanrao, Yoyo")),"HDAL",
IF(OR(WEEKDAY(AA$16,2)=7,AND(WEEKDAY(AA$16,2)=6,SUMPRODUCT(($B$9:$AG$10=IFERROR(VLOOKUP($B20,'On call stat'!$S$3:$T$20,2,FALSE),""))*($B$3:$AG$3=AA$16))&gt;0)),"DO",
IF(SUMPRODUCT(($B$9:$AG$10=IFERROR(VLOOKUP($B20,'On call stat'!$S$3:$T$20,2,FALSE),""))*($B$3:$AG$3=AA$16))&gt;0,"AL",
IF(WEEKDAY(AA$16,2)=6,
IF($B20="Chan, Man Wai","HD",
IF($B20="Ng Suet Ping, Yoko","HD",
IF($B20="Li Mui Ying","HD1",
IF($B20="Huang Huanrao, Yoyo",IF(MOD(AA$13,2)=1,"HD2",IFERROR(IF(SUMPRODUCT(($B$3:$AG$3=AA$16)*($B$5:$AG$7=VLOOKUP($B20,'On call stat'!$S$3:$T$10,2,FALSE)))&gt;0,"D","DO"),"DO")),
IF($B20="Lee Ka Po, Kathy",IF(MOD(AA$13,2)=0,"HD2",IFERROR(IF(SUMPRODUCT(($B$3:$AG$3=AA$16)*($B$5:$AG$7=VLOOKUP($B20,'On call stat'!$S$3:$T$10,2,FALSE)))&gt;0,"D","DO"),"DO")),
IF($B20="Fan Hoi Wan, Ivy",IF(MOD(AA$13,2)=0,"D",IFERROR(IF(SUMPRODUCT(($B$3:$AG$3=AA$16)*($B$5:$AG$7=VLOOKUP($B20,'On call stat'!$S$3:$T$10,2,FALSE)))&gt;0,"D","DO"),"DO")),
IFERROR(IF(SUMPRODUCT(($B$3:$AG$3=AA$16)*($B$5:$AG$7=VLOOKUP($B20,'On call stat'!$S$3:$T$10,2,FALSE)))&gt;0,"D","DO"),"DO"))))))),
IF($B20="Huang Huanrao, Yoyo",IF(MOD(AA$13,2)=1,"D1","B6"),
IF($B20="Lee Ka Po, Kathy",IF(MOD(AA$13,2)=0,"D1","B6"),
IFERROR(IF(SUMPRODUCT(($B$3:$AG$3=AA$16)*($B$5:$AG$7=VLOOKUP($B20,'On call stat'!$S$3:$T$10,2,FALSE)))&gt;0,"E","D"),"D"))))))))</f>
        <v>PH</v>
      </c>
      <c r="AB20" s="40" t="str">
        <f>IF(COUNTIF(PH!$A:$A,AB$16)&gt;0,"PH",
IF(AND(SUMPRODUCT(($B$9:$AG$10=IFERROR(VLOOKUP($B20,'On call stat'!$S$3:$T$20,2,FALSE),""))*($B$3:$AG$3=AB$16))&gt;0,OR(WEEKDAY(AB$16,2)=6,),OR($B20="Chan, Man Wai",$B20="Ng Suet Ping, Yoko",$B20="Li Mui Ying",$B20="Lee Ka Po, Kathy",$B20="Huang Huanrao, Yoyo")),"HDAL",
IF(OR(WEEKDAY(AB$16,2)=7,AND(WEEKDAY(AB$16,2)=6,SUMPRODUCT(($B$9:$AG$10=IFERROR(VLOOKUP($B20,'On call stat'!$S$3:$T$20,2,FALSE),""))*($B$3:$AG$3=AB$16))&gt;0)),"DO",
IF(SUMPRODUCT(($B$9:$AG$10=IFERROR(VLOOKUP($B20,'On call stat'!$S$3:$T$20,2,FALSE),""))*($B$3:$AG$3=AB$16))&gt;0,"AL",
IF(WEEKDAY(AB$16,2)=6,
IF($B20="Chan, Man Wai","HD",
IF($B20="Ng Suet Ping, Yoko","HD",
IF($B20="Li Mui Ying","HD1",
IF($B20="Huang Huanrao, Yoyo",IF(MOD(AB$13,2)=1,"HD2",IFERROR(IF(SUMPRODUCT(($B$3:$AG$3=AB$16)*($B$5:$AG$7=VLOOKUP($B20,'On call stat'!$S$3:$T$10,2,FALSE)))&gt;0,"D","DO"),"DO")),
IF($B20="Lee Ka Po, Kathy",IF(MOD(AB$13,2)=0,"HD2",IFERROR(IF(SUMPRODUCT(($B$3:$AG$3=AB$16)*($B$5:$AG$7=VLOOKUP($B20,'On call stat'!$S$3:$T$10,2,FALSE)))&gt;0,"D","DO"),"DO")),
IF($B20="Fan Hoi Wan, Ivy",IF(MOD(AB$13,2)=0,"D",IFERROR(IF(SUMPRODUCT(($B$3:$AG$3=AB$16)*($B$5:$AG$7=VLOOKUP($B20,'On call stat'!$S$3:$T$10,2,FALSE)))&gt;0,"D","DO"),"DO")),
IFERROR(IF(SUMPRODUCT(($B$3:$AG$3=AB$16)*($B$5:$AG$7=VLOOKUP($B20,'On call stat'!$S$3:$T$10,2,FALSE)))&gt;0,"D","DO"),"DO"))))))),
IF($B20="Huang Huanrao, Yoyo",IF(MOD(AB$13,2)=1,"D1","B6"),
IF($B20="Lee Ka Po, Kathy",IF(MOD(AB$13,2)=0,"D1","B6"),
IFERROR(IF(SUMPRODUCT(($B$3:$AG$3=AB$16)*($B$5:$AG$7=VLOOKUP($B20,'On call stat'!$S$3:$T$10,2,FALSE)))&gt;0,"E","D"),"D"))))))))</f>
        <v>PH</v>
      </c>
      <c r="AC20" s="40" t="str">
        <f>IF(COUNTIF(PH!$A:$A,AC$16)&gt;0,"PH",
IF(AND(SUMPRODUCT(($B$9:$AG$10=IFERROR(VLOOKUP($B20,'On call stat'!$S$3:$T$20,2,FALSE),""))*($B$3:$AG$3=AC$16))&gt;0,OR(WEEKDAY(AC$16,2)=6,),OR($B20="Chan, Man Wai",$B20="Ng Suet Ping, Yoko",$B20="Li Mui Ying",$B20="Lee Ka Po, Kathy",$B20="Huang Huanrao, Yoyo")),"HDAL",
IF(OR(WEEKDAY(AC$16,2)=7,AND(WEEKDAY(AC$16,2)=6,SUMPRODUCT(($B$9:$AG$10=IFERROR(VLOOKUP($B20,'On call stat'!$S$3:$T$20,2,FALSE),""))*($B$3:$AG$3=AC$16))&gt;0)),"DO",
IF(SUMPRODUCT(($B$9:$AG$10=IFERROR(VLOOKUP($B20,'On call stat'!$S$3:$T$20,2,FALSE),""))*($B$3:$AG$3=AC$16))&gt;0,"AL",
IF(WEEKDAY(AC$16,2)=6,
IF($B20="Chan, Man Wai","HD",
IF($B20="Ng Suet Ping, Yoko","HD",
IF($B20="Li Mui Ying","HD1",
IF($B20="Huang Huanrao, Yoyo",IF(MOD(AC$13,2)=1,"HD2",IFERROR(IF(SUMPRODUCT(($B$3:$AG$3=AC$16)*($B$5:$AG$7=VLOOKUP($B20,'On call stat'!$S$3:$T$10,2,FALSE)))&gt;0,"D","DO"),"DO")),
IF($B20="Lee Ka Po, Kathy",IF(MOD(AC$13,2)=0,"HD2",IFERROR(IF(SUMPRODUCT(($B$3:$AG$3=AC$16)*($B$5:$AG$7=VLOOKUP($B20,'On call stat'!$S$3:$T$10,2,FALSE)))&gt;0,"D","DO"),"DO")),
IF($B20="Fan Hoi Wan, Ivy",IF(MOD(AC$13,2)=0,"D",IFERROR(IF(SUMPRODUCT(($B$3:$AG$3=AC$16)*($B$5:$AG$7=VLOOKUP($B20,'On call stat'!$S$3:$T$10,2,FALSE)))&gt;0,"D","DO"),"DO")),
IFERROR(IF(SUMPRODUCT(($B$3:$AG$3=AC$16)*($B$5:$AG$7=VLOOKUP($B20,'On call stat'!$S$3:$T$10,2,FALSE)))&gt;0,"D","DO"),"DO"))))))),
IF($B20="Huang Huanrao, Yoyo",IF(MOD(AC$13,2)=1,"D1","B6"),
IF($B20="Lee Ka Po, Kathy",IF(MOD(AC$13,2)=0,"D1","B6"),
IFERROR(IF(SUMPRODUCT(($B$3:$AG$3=AC$16)*($B$5:$AG$7=VLOOKUP($B20,'On call stat'!$S$3:$T$10,2,FALSE)))&gt;0,"E","D"),"D"))))))))</f>
        <v>DO</v>
      </c>
      <c r="AD20" s="40" t="str">
        <f>IF(COUNTIF(PH!$A:$A,AD$16)&gt;0,"PH",
IF(AND(SUMPRODUCT(($B$9:$AG$10=IFERROR(VLOOKUP($B20,'On call stat'!$S$3:$T$20,2,FALSE),""))*($B$3:$AG$3=AD$16))&gt;0,OR(WEEKDAY(AD$16,2)=6,),OR($B20="Chan, Man Wai",$B20="Ng Suet Ping, Yoko",$B20="Li Mui Ying",$B20="Lee Ka Po, Kathy",$B20="Huang Huanrao, Yoyo")),"HDAL",
IF(OR(WEEKDAY(AD$16,2)=7,AND(WEEKDAY(AD$16,2)=6,SUMPRODUCT(($B$9:$AG$10=IFERROR(VLOOKUP($B20,'On call stat'!$S$3:$T$20,2,FALSE),""))*($B$3:$AG$3=AD$16))&gt;0)),"DO",
IF(SUMPRODUCT(($B$9:$AG$10=IFERROR(VLOOKUP($B20,'On call stat'!$S$3:$T$20,2,FALSE),""))*($B$3:$AG$3=AD$16))&gt;0,"AL",
IF(WEEKDAY(AD$16,2)=6,
IF($B20="Chan, Man Wai","HD",
IF($B20="Ng Suet Ping, Yoko","HD",
IF($B20="Li Mui Ying","HD1",
IF($B20="Huang Huanrao, Yoyo",IF(MOD(AD$13,2)=1,"HD2",IFERROR(IF(SUMPRODUCT(($B$3:$AG$3=AD$16)*($B$5:$AG$7=VLOOKUP($B20,'On call stat'!$S$3:$T$10,2,FALSE)))&gt;0,"D","DO"),"DO")),
IF($B20="Lee Ka Po, Kathy",IF(MOD(AD$13,2)=0,"HD2",IFERROR(IF(SUMPRODUCT(($B$3:$AG$3=AD$16)*($B$5:$AG$7=VLOOKUP($B20,'On call stat'!$S$3:$T$10,2,FALSE)))&gt;0,"D","DO"),"DO")),
IF($B20="Fan Hoi Wan, Ivy",IF(MOD(AD$13,2)=0,"D",IFERROR(IF(SUMPRODUCT(($B$3:$AG$3=AD$16)*($B$5:$AG$7=VLOOKUP($B20,'On call stat'!$S$3:$T$10,2,FALSE)))&gt;0,"D","DO"),"DO")),
IFERROR(IF(SUMPRODUCT(($B$3:$AG$3=AD$16)*($B$5:$AG$7=VLOOKUP($B20,'On call stat'!$S$3:$T$10,2,FALSE)))&gt;0,"D","DO"),"DO"))))))),
IF($B20="Huang Huanrao, Yoyo",IF(MOD(AD$13,2)=1,"D1","B6"),
IF($B20="Lee Ka Po, Kathy",IF(MOD(AD$13,2)=0,"D1","B6"),
IFERROR(IF(SUMPRODUCT(($B$3:$AG$3=AD$16)*($B$5:$AG$7=VLOOKUP($B20,'On call stat'!$S$3:$T$10,2,FALSE)))&gt;0,"E","D"),"D"))))))))</f>
        <v>D</v>
      </c>
      <c r="AE20" s="40" t="str">
        <f>IF(COUNTIF(PH!$A:$A,AE$16)&gt;0,"PH",
IF(AND(SUMPRODUCT(($B$9:$AG$10=IFERROR(VLOOKUP($B20,'On call stat'!$S$3:$T$20,2,FALSE),""))*($B$3:$AG$3=AE$16))&gt;0,OR(WEEKDAY(AE$16,2)=6,),OR($B20="Chan, Man Wai",$B20="Ng Suet Ping, Yoko",$B20="Li Mui Ying",$B20="Lee Ka Po, Kathy",$B20="Huang Huanrao, Yoyo")),"HDAL",
IF(OR(WEEKDAY(AE$16,2)=7,AND(WEEKDAY(AE$16,2)=6,SUMPRODUCT(($B$9:$AG$10=IFERROR(VLOOKUP($B20,'On call stat'!$S$3:$T$20,2,FALSE),""))*($B$3:$AG$3=AE$16))&gt;0)),"DO",
IF(SUMPRODUCT(($B$9:$AG$10=IFERROR(VLOOKUP($B20,'On call stat'!$S$3:$T$20,2,FALSE),""))*($B$3:$AG$3=AE$16))&gt;0,"AL",
IF(WEEKDAY(AE$16,2)=6,
IF($B20="Chan, Man Wai","HD",
IF($B20="Ng Suet Ping, Yoko","HD",
IF($B20="Li Mui Ying","HD1",
IF($B20="Huang Huanrao, Yoyo",IF(MOD(AE$13,2)=1,"HD2",IFERROR(IF(SUMPRODUCT(($B$3:$AG$3=AE$16)*($B$5:$AG$7=VLOOKUP($B20,'On call stat'!$S$3:$T$10,2,FALSE)))&gt;0,"D","DO"),"DO")),
IF($B20="Lee Ka Po, Kathy",IF(MOD(AE$13,2)=0,"HD2",IFERROR(IF(SUMPRODUCT(($B$3:$AG$3=AE$16)*($B$5:$AG$7=VLOOKUP($B20,'On call stat'!$S$3:$T$10,2,FALSE)))&gt;0,"D","DO"),"DO")),
IF($B20="Fan Hoi Wan, Ivy",IF(MOD(AE$13,2)=0,"D",IFERROR(IF(SUMPRODUCT(($B$3:$AG$3=AE$16)*($B$5:$AG$7=VLOOKUP($B20,'On call stat'!$S$3:$T$10,2,FALSE)))&gt;0,"D","DO"),"DO")),
IFERROR(IF(SUMPRODUCT(($B$3:$AG$3=AE$16)*($B$5:$AG$7=VLOOKUP($B20,'On call stat'!$S$3:$T$10,2,FALSE)))&gt;0,"D","DO"),"DO"))))))),
IF($B20="Huang Huanrao, Yoyo",IF(MOD(AE$13,2)=1,"D1","B6"),
IF($B20="Lee Ka Po, Kathy",IF(MOD(AE$13,2)=0,"D1","B6"),
IFERROR(IF(SUMPRODUCT(($B$3:$AG$3=AE$16)*($B$5:$AG$7=VLOOKUP($B20,'On call stat'!$S$3:$T$10,2,FALSE)))&gt;0,"E","D"),"D"))))))))</f>
        <v>D</v>
      </c>
      <c r="AF20" s="40" t="str">
        <f>IF(COUNTIF(PH!$A:$A,AF$16)&gt;0,"PH",
IF(AND(SUMPRODUCT(($B$9:$AG$10=IFERROR(VLOOKUP($B20,'On call stat'!$S$3:$T$20,2,FALSE),""))*($B$3:$AG$3=AF$16))&gt;0,OR(WEEKDAY(AF$16,2)=6,),OR($B20="Chan, Man Wai",$B20="Ng Suet Ping, Yoko",$B20="Li Mui Ying",$B20="Lee Ka Po, Kathy",$B20="Huang Huanrao, Yoyo")),"HDAL",
IF(OR(WEEKDAY(AF$16,2)=7,AND(WEEKDAY(AF$16,2)=6,SUMPRODUCT(($B$9:$AG$10=IFERROR(VLOOKUP($B20,'On call stat'!$S$3:$T$20,2,FALSE),""))*($B$3:$AG$3=AF$16))&gt;0)),"DO",
IF(SUMPRODUCT(($B$9:$AG$10=IFERROR(VLOOKUP($B20,'On call stat'!$S$3:$T$20,2,FALSE),""))*($B$3:$AG$3=AF$16))&gt;0,"AL",
IF(WEEKDAY(AF$16,2)=6,
IF($B20="Chan, Man Wai","HD",
IF($B20="Ng Suet Ping, Yoko","HD",
IF($B20="Li Mui Ying","HD1",
IF($B20="Huang Huanrao, Yoyo",IF(MOD(AF$13,2)=1,"HD2",IFERROR(IF(SUMPRODUCT(($B$3:$AG$3=AF$16)*($B$5:$AG$7=VLOOKUP($B20,'On call stat'!$S$3:$T$10,2,FALSE)))&gt;0,"D","DO"),"DO")),
IF($B20="Lee Ka Po, Kathy",IF(MOD(AF$13,2)=0,"HD2",IFERROR(IF(SUMPRODUCT(($B$3:$AG$3=AF$16)*($B$5:$AG$7=VLOOKUP($B20,'On call stat'!$S$3:$T$10,2,FALSE)))&gt;0,"D","DO"),"DO")),
IF($B20="Fan Hoi Wan, Ivy",IF(MOD(AF$13,2)=0,"D",IFERROR(IF(SUMPRODUCT(($B$3:$AG$3=AF$16)*($B$5:$AG$7=VLOOKUP($B20,'On call stat'!$S$3:$T$10,2,FALSE)))&gt;0,"D","DO"),"DO")),
IFERROR(IF(SUMPRODUCT(($B$3:$AG$3=AF$16)*($B$5:$AG$7=VLOOKUP($B20,'On call stat'!$S$3:$T$10,2,FALSE)))&gt;0,"D","DO"),"DO"))))))),
IF($B20="Huang Huanrao, Yoyo",IF(MOD(AF$13,2)=1,"D1","B6"),
IF($B20="Lee Ka Po, Kathy",IF(MOD(AF$13,2)=0,"D1","B6"),
IFERROR(IF(SUMPRODUCT(($B$3:$AG$3=AF$16)*($B$5:$AG$7=VLOOKUP($B20,'On call stat'!$S$3:$T$10,2,FALSE)))&gt;0,"E","D"),"D"))))))))</f>
        <v>D</v>
      </c>
      <c r="AG20" s="40" t="str">
        <f>IF(COUNTIF(PH!$A:$A,AG$16)&gt;0,"PH",
IF(AND(SUMPRODUCT(($B$9:$AG$10=IFERROR(VLOOKUP($B20,'On call stat'!$S$3:$T$20,2,FALSE),""))*($B$3:$AG$3=AG$16))&gt;0,OR(WEEKDAY(AG$16,2)=6,),OR($B20="Chan, Man Wai",$B20="Ng Suet Ping, Yoko",$B20="Li Mui Ying",$B20="Lee Ka Po, Kathy",$B20="Huang Huanrao, Yoyo")),"HDAL",
IF(OR(WEEKDAY(AG$16,2)=7,AND(WEEKDAY(AG$16,2)=6,SUMPRODUCT(($B$9:$AG$10=IFERROR(VLOOKUP($B20,'On call stat'!$S$3:$T$20,2,FALSE),""))*($B$3:$AG$3=AG$16))&gt;0)),"DO",
IF(SUMPRODUCT(($B$9:$AG$10=IFERROR(VLOOKUP($B20,'On call stat'!$S$3:$T$20,2,FALSE),""))*($B$3:$AG$3=AG$16))&gt;0,"AL",
IF(WEEKDAY(AG$16,2)=6,
IF($B20="Chan, Man Wai","HD",
IF($B20="Ng Suet Ping, Yoko","HD",
IF($B20="Li Mui Ying","HD1",
IF($B20="Huang Huanrao, Yoyo",IF(MOD(AG$13,2)=1,"HD2",IFERROR(IF(SUMPRODUCT(($B$3:$AG$3=AG$16)*($B$5:$AG$7=VLOOKUP($B20,'On call stat'!$S$3:$T$10,2,FALSE)))&gt;0,"D","DO"),"DO")),
IF($B20="Lee Ka Po, Kathy",IF(MOD(AG$13,2)=0,"HD2",IFERROR(IF(SUMPRODUCT(($B$3:$AG$3=AG$16)*($B$5:$AG$7=VLOOKUP($B20,'On call stat'!$S$3:$T$10,2,FALSE)))&gt;0,"D","DO"),"DO")),
IF($B20="Fan Hoi Wan, Ivy",IF(MOD(AG$13,2)=0,"D",IFERROR(IF(SUMPRODUCT(($B$3:$AG$3=AG$16)*($B$5:$AG$7=VLOOKUP($B20,'On call stat'!$S$3:$T$10,2,FALSE)))&gt;0,"D","DO"),"DO")),
IFERROR(IF(SUMPRODUCT(($B$3:$AG$3=AG$16)*($B$5:$AG$7=VLOOKUP($B20,'On call stat'!$S$3:$T$10,2,FALSE)))&gt;0,"D","DO"),"DO"))))))),
IF($B20="Huang Huanrao, Yoyo",IF(MOD(AG$13,2)=1,"D1","B6"),
IF($B20="Lee Ka Po, Kathy",IF(MOD(AG$13,2)=0,"D1","B6"),
IFERROR(IF(SUMPRODUCT(($B$3:$AG$3=AG$16)*($B$5:$AG$7=VLOOKUP($B20,'On call stat'!$S$3:$T$10,2,FALSE)))&gt;0,"E","D"),"D"))))))))</f>
        <v>D</v>
      </c>
      <c r="AK20" s="11" t="s">
        <v>119</v>
      </c>
      <c r="AL20" s="65">
        <f t="shared" si="4"/>
        <v>188</v>
      </c>
      <c r="AM20" s="66" cm="1">
        <f t="array" ref="AM20">SUMPRODUCT((C20:AG20="AL") *  (COUNTIF(PH!$A:$A, C$16:AG$16)=0) *(WEEKDAY(C$16:AG$16,2)&lt;=5) *  8)+SUMPRODUCT((C20:AG20="HDAL") *  (COUNTIF(PH!$A:$A, C$16:AG$16)=0) *(WEEKDAY(C$16:AG$16,2)&lt;=6) *  4)</f>
        <v>0</v>
      </c>
      <c r="AN20" s="68">
        <f t="shared" si="5"/>
        <v>188</v>
      </c>
      <c r="AO20" s="67">
        <f t="shared" si="6"/>
        <v>0</v>
      </c>
      <c r="AP20" s="67">
        <f>AO20+Nov!AP20</f>
        <v>0</v>
      </c>
    </row>
    <row r="21" spans="1:42" ht="37.5" customHeight="1" thickBot="1">
      <c r="A21" s="23" t="s">
        <v>57</v>
      </c>
      <c r="B21" s="22" t="s">
        <v>58</v>
      </c>
      <c r="C21" s="40" t="str">
        <f>IF(COUNTIF(PH!$A:$A,C$16)&gt;0,"PH",
IF(AND(SUMPRODUCT(($B$9:$AG$10=IFERROR(VLOOKUP($B21,'On call stat'!$S$3:$T$20,2,FALSE),""))*($B$3:$AG$3=C$16))&gt;0,OR(WEEKDAY(C$16,2)=6,),OR($B21="Chan, Man Wai",$B21="Ng Suet Ping, Yoko",$B21="Li Mui Ying",$B21="Lee Ka Po, Kathy",$B21="Huang Huanrao, Yoyo")),"HDAL",
IF(OR(WEEKDAY(C$16,2)=7,AND(WEEKDAY(C$16,2)=6,SUMPRODUCT(($B$9:$AG$10=IFERROR(VLOOKUP($B21,'On call stat'!$S$3:$T$20,2,FALSE),""))*($B$3:$AG$3=C$16))&gt;0)),"DO",
IF(SUMPRODUCT(($B$9:$AG$10=IFERROR(VLOOKUP($B21,'On call stat'!$S$3:$T$20,2,FALSE),""))*($B$3:$AG$3=C$16))&gt;0,"AL",
IF(WEEKDAY(C$16,2)=6,
IF($B21="Chan, Man Wai","HD",
IF($B21="Ng Suet Ping, Yoko","HD",
IF($B21="Li Mui Ying","HD1",
IF($B21="Huang Huanrao, Yoyo",IF(MOD(C$13,2)=1,"HD2",IFERROR(IF(SUMPRODUCT(($B$3:$AG$3=C$16)*($B$5:$AG$7=VLOOKUP($B21,'On call stat'!$S$3:$T$10,2,FALSE)))&gt;0,"D","DO"),"DO")),
IF($B21="Lee Ka Po, Kathy",IF(MOD(C$13,2)=0,"HD2",IFERROR(IF(SUMPRODUCT(($B$3:$AG$3=C$16)*($B$5:$AG$7=VLOOKUP($B21,'On call stat'!$S$3:$T$10,2,FALSE)))&gt;0,"D","DO"),"DO")),
IF($B21="Fan Hoi Wan, Ivy",IF(MOD(C$13,2)=0,"D",IFERROR(IF(SUMPRODUCT(($B$3:$AG$3=C$16)*($B$5:$AG$7=VLOOKUP($B21,'On call stat'!$S$3:$T$10,2,FALSE)))&gt;0,"D","DO"),"DO")),
IFERROR(IF(SUMPRODUCT(($B$3:$AG$3=C$16)*($B$5:$AG$7=VLOOKUP($B21,'On call stat'!$S$3:$T$10,2,FALSE)))&gt;0,"D","DO"),"DO"))))))),
IF($B21="Huang Huanrao, Yoyo",IF(MOD(C$13,2)=1,"D1","B6"),
IF($B21="Lee Ka Po, Kathy",IF(MOD(C$13,2)=0,"D1","B6"),
IFERROR(IF(SUMPRODUCT(($B$3:$AG$3=C$16)*($B$5:$AG$7=VLOOKUP($B21,'On call stat'!$S$3:$T$10,2,FALSE)))&gt;0,"E","D"),"D"))))))))</f>
        <v>D</v>
      </c>
      <c r="D21" s="40" t="str">
        <f>IF(COUNTIF(PH!$A:$A,D$16)&gt;0,"PH",
IF(AND(SUMPRODUCT(($B$9:$AG$10=IFERROR(VLOOKUP($B21,'On call stat'!$S$3:$T$20,2,FALSE),""))*($B$3:$AG$3=D$16))&gt;0,OR(WEEKDAY(D$16,2)=6,),OR($B21="Chan, Man Wai",$B21="Ng Suet Ping, Yoko",$B21="Li Mui Ying",$B21="Lee Ka Po, Kathy",$B21="Huang Huanrao, Yoyo")),"HDAL",
IF(OR(WEEKDAY(D$16,2)=7,AND(WEEKDAY(D$16,2)=6,SUMPRODUCT(($B$9:$AG$10=IFERROR(VLOOKUP($B21,'On call stat'!$S$3:$T$20,2,FALSE),""))*($B$3:$AG$3=D$16))&gt;0)),"DO",
IF(SUMPRODUCT(($B$9:$AG$10=IFERROR(VLOOKUP($B21,'On call stat'!$S$3:$T$20,2,FALSE),""))*($B$3:$AG$3=D$16))&gt;0,"AL",
IF(WEEKDAY(D$16,2)=6,
IF($B21="Chan, Man Wai","HD",
IF($B21="Ng Suet Ping, Yoko","HD",
IF($B21="Li Mui Ying","HD1",
IF($B21="Huang Huanrao, Yoyo",IF(MOD(D$13,2)=1,"HD2",IFERROR(IF(SUMPRODUCT(($B$3:$AG$3=D$16)*($B$5:$AG$7=VLOOKUP($B21,'On call stat'!$S$3:$T$10,2,FALSE)))&gt;0,"D","DO"),"DO")),
IF($B21="Lee Ka Po, Kathy",IF(MOD(D$13,2)=0,"HD2",IFERROR(IF(SUMPRODUCT(($B$3:$AG$3=D$16)*($B$5:$AG$7=VLOOKUP($B21,'On call stat'!$S$3:$T$10,2,FALSE)))&gt;0,"D","DO"),"DO")),
IF($B21="Fan Hoi Wan, Ivy",IF(MOD(D$13,2)=0,"D",IFERROR(IF(SUMPRODUCT(($B$3:$AG$3=D$16)*($B$5:$AG$7=VLOOKUP($B21,'On call stat'!$S$3:$T$10,2,FALSE)))&gt;0,"D","DO"),"DO")),
IFERROR(IF(SUMPRODUCT(($B$3:$AG$3=D$16)*($B$5:$AG$7=VLOOKUP($B21,'On call stat'!$S$3:$T$10,2,FALSE)))&gt;0,"D","DO"),"DO"))))))),
IF($B21="Huang Huanrao, Yoyo",IF(MOD(D$13,2)=1,"D1","B6"),
IF($B21="Lee Ka Po, Kathy",IF(MOD(D$13,2)=0,"D1","B6"),
IFERROR(IF(SUMPRODUCT(($B$3:$AG$3=D$16)*($B$5:$AG$7=VLOOKUP($B21,'On call stat'!$S$3:$T$10,2,FALSE)))&gt;0,"E","D"),"D"))))))))</f>
        <v>D</v>
      </c>
      <c r="E21" s="40" t="str">
        <f>IF(COUNTIF(PH!$A:$A,E$16)&gt;0,"PH",
IF(AND(SUMPRODUCT(($B$9:$AG$10=IFERROR(VLOOKUP($B21,'On call stat'!$S$3:$T$20,2,FALSE),""))*($B$3:$AG$3=E$16))&gt;0,OR(WEEKDAY(E$16,2)=6,),OR($B21="Chan, Man Wai",$B21="Ng Suet Ping, Yoko",$B21="Li Mui Ying",$B21="Lee Ka Po, Kathy",$B21="Huang Huanrao, Yoyo")),"HDAL",
IF(OR(WEEKDAY(E$16,2)=7,AND(WEEKDAY(E$16,2)=6,SUMPRODUCT(($B$9:$AG$10=IFERROR(VLOOKUP($B21,'On call stat'!$S$3:$T$20,2,FALSE),""))*($B$3:$AG$3=E$16))&gt;0)),"DO",
IF(SUMPRODUCT(($B$9:$AG$10=IFERROR(VLOOKUP($B21,'On call stat'!$S$3:$T$20,2,FALSE),""))*($B$3:$AG$3=E$16))&gt;0,"AL",
IF(WEEKDAY(E$16,2)=6,
IF($B21="Chan, Man Wai","HD",
IF($B21="Ng Suet Ping, Yoko","HD",
IF($B21="Li Mui Ying","HD1",
IF($B21="Huang Huanrao, Yoyo",IF(MOD(E$13,2)=1,"HD2",IFERROR(IF(SUMPRODUCT(($B$3:$AG$3=E$16)*($B$5:$AG$7=VLOOKUP($B21,'On call stat'!$S$3:$T$10,2,FALSE)))&gt;0,"D","DO"),"DO")),
IF($B21="Lee Ka Po, Kathy",IF(MOD(E$13,2)=0,"HD2",IFERROR(IF(SUMPRODUCT(($B$3:$AG$3=E$16)*($B$5:$AG$7=VLOOKUP($B21,'On call stat'!$S$3:$T$10,2,FALSE)))&gt;0,"D","DO"),"DO")),
IF($B21="Fan Hoi Wan, Ivy",IF(MOD(E$13,2)=0,"D",IFERROR(IF(SUMPRODUCT(($B$3:$AG$3=E$16)*($B$5:$AG$7=VLOOKUP($B21,'On call stat'!$S$3:$T$10,2,FALSE)))&gt;0,"D","DO"),"DO")),
IFERROR(IF(SUMPRODUCT(($B$3:$AG$3=E$16)*($B$5:$AG$7=VLOOKUP($B21,'On call stat'!$S$3:$T$10,2,FALSE)))&gt;0,"D","DO"),"DO"))))))),
IF($B21="Huang Huanrao, Yoyo",IF(MOD(E$13,2)=1,"D1","B6"),
IF($B21="Lee Ka Po, Kathy",IF(MOD(E$13,2)=0,"D1","B6"),
IFERROR(IF(SUMPRODUCT(($B$3:$AG$3=E$16)*($B$5:$AG$7=VLOOKUP($B21,'On call stat'!$S$3:$T$10,2,FALSE)))&gt;0,"E","D"),"D"))))))))</f>
        <v>D</v>
      </c>
      <c r="F21" s="40" t="str">
        <f>IF(COUNTIF(PH!$A:$A,F$16)&gt;0,"PH",
IF(AND(SUMPRODUCT(($B$9:$AG$10=IFERROR(VLOOKUP($B21,'On call stat'!$S$3:$T$20,2,FALSE),""))*($B$3:$AG$3=F$16))&gt;0,OR(WEEKDAY(F$16,2)=6,),OR($B21="Chan, Man Wai",$B21="Ng Suet Ping, Yoko",$B21="Li Mui Ying",$B21="Lee Ka Po, Kathy",$B21="Huang Huanrao, Yoyo")),"HDAL",
IF(OR(WEEKDAY(F$16,2)=7,AND(WEEKDAY(F$16,2)=6,SUMPRODUCT(($B$9:$AG$10=IFERROR(VLOOKUP($B21,'On call stat'!$S$3:$T$20,2,FALSE),""))*($B$3:$AG$3=F$16))&gt;0)),"DO",
IF(SUMPRODUCT(($B$9:$AG$10=IFERROR(VLOOKUP($B21,'On call stat'!$S$3:$T$20,2,FALSE),""))*($B$3:$AG$3=F$16))&gt;0,"AL",
IF(WEEKDAY(F$16,2)=6,
IF($B21="Chan, Man Wai","HD",
IF($B21="Ng Suet Ping, Yoko","HD",
IF($B21="Li Mui Ying","HD1",
IF($B21="Huang Huanrao, Yoyo",IF(MOD(F$13,2)=1,"HD2",IFERROR(IF(SUMPRODUCT(($B$3:$AG$3=F$16)*($B$5:$AG$7=VLOOKUP($B21,'On call stat'!$S$3:$T$10,2,FALSE)))&gt;0,"D","DO"),"DO")),
IF($B21="Lee Ka Po, Kathy",IF(MOD(F$13,2)=0,"HD2",IFERROR(IF(SUMPRODUCT(($B$3:$AG$3=F$16)*($B$5:$AG$7=VLOOKUP($B21,'On call stat'!$S$3:$T$10,2,FALSE)))&gt;0,"D","DO"),"DO")),
IF($B21="Fan Hoi Wan, Ivy",IF(MOD(F$13,2)=0,"D",IFERROR(IF(SUMPRODUCT(($B$3:$AG$3=F$16)*($B$5:$AG$7=VLOOKUP($B21,'On call stat'!$S$3:$T$10,2,FALSE)))&gt;0,"D","DO"),"DO")),
IFERROR(IF(SUMPRODUCT(($B$3:$AG$3=F$16)*($B$5:$AG$7=VLOOKUP($B21,'On call stat'!$S$3:$T$10,2,FALSE)))&gt;0,"D","DO"),"DO"))))))),
IF($B21="Huang Huanrao, Yoyo",IF(MOD(F$13,2)=1,"D1","B6"),
IF($B21="Lee Ka Po, Kathy",IF(MOD(F$13,2)=0,"D1","B6"),
IFERROR(IF(SUMPRODUCT(($B$3:$AG$3=F$16)*($B$5:$AG$7=VLOOKUP($B21,'On call stat'!$S$3:$T$10,2,FALSE)))&gt;0,"E","D"),"D"))))))))</f>
        <v>D</v>
      </c>
      <c r="G21" s="40" t="str">
        <f>IF(COUNTIF(PH!$A:$A,G$16)&gt;0,"PH",
IF(AND(SUMPRODUCT(($B$9:$AG$10=IFERROR(VLOOKUP($B21,'On call stat'!$S$3:$T$20,2,FALSE),""))*($B$3:$AG$3=G$16))&gt;0,OR(WEEKDAY(G$16,2)=6,),OR($B21="Chan, Man Wai",$B21="Ng Suet Ping, Yoko",$B21="Li Mui Ying",$B21="Lee Ka Po, Kathy",$B21="Huang Huanrao, Yoyo")),"HDAL",
IF(OR(WEEKDAY(G$16,2)=7,AND(WEEKDAY(G$16,2)=6,SUMPRODUCT(($B$9:$AG$10=IFERROR(VLOOKUP($B21,'On call stat'!$S$3:$T$20,2,FALSE),""))*($B$3:$AG$3=G$16))&gt;0)),"DO",
IF(SUMPRODUCT(($B$9:$AG$10=IFERROR(VLOOKUP($B21,'On call stat'!$S$3:$T$20,2,FALSE),""))*($B$3:$AG$3=G$16))&gt;0,"AL",
IF(WEEKDAY(G$16,2)=6,
IF($B21="Chan, Man Wai","HD",
IF($B21="Ng Suet Ping, Yoko","HD",
IF($B21="Li Mui Ying","HD1",
IF($B21="Huang Huanrao, Yoyo",IF(MOD(G$13,2)=1,"HD2",IFERROR(IF(SUMPRODUCT(($B$3:$AG$3=G$16)*($B$5:$AG$7=VLOOKUP($B21,'On call stat'!$S$3:$T$10,2,FALSE)))&gt;0,"D","DO"),"DO")),
IF($B21="Lee Ka Po, Kathy",IF(MOD(G$13,2)=0,"HD2",IFERROR(IF(SUMPRODUCT(($B$3:$AG$3=G$16)*($B$5:$AG$7=VLOOKUP($B21,'On call stat'!$S$3:$T$10,2,FALSE)))&gt;0,"D","DO"),"DO")),
IF($B21="Fan Hoi Wan, Ivy",IF(MOD(G$13,2)=0,"D",IFERROR(IF(SUMPRODUCT(($B$3:$AG$3=G$16)*($B$5:$AG$7=VLOOKUP($B21,'On call stat'!$S$3:$T$10,2,FALSE)))&gt;0,"D","DO"),"DO")),
IFERROR(IF(SUMPRODUCT(($B$3:$AG$3=G$16)*($B$5:$AG$7=VLOOKUP($B21,'On call stat'!$S$3:$T$10,2,FALSE)))&gt;0,"D","DO"),"DO"))))))),
IF($B21="Huang Huanrao, Yoyo",IF(MOD(G$13,2)=1,"D1","B6"),
IF($B21="Lee Ka Po, Kathy",IF(MOD(G$13,2)=0,"D1","B6"),
IFERROR(IF(SUMPRODUCT(($B$3:$AG$3=G$16)*($B$5:$AG$7=VLOOKUP($B21,'On call stat'!$S$3:$T$10,2,FALSE)))&gt;0,"E","D"),"D"))))))))</f>
        <v>DO</v>
      </c>
      <c r="H21" s="40" t="str">
        <f>IF(COUNTIF(PH!$A:$A,H$16)&gt;0,"PH",
IF(AND(SUMPRODUCT(($B$9:$AG$10=IFERROR(VLOOKUP($B21,'On call stat'!$S$3:$T$20,2,FALSE),""))*($B$3:$AG$3=H$16))&gt;0,OR(WEEKDAY(H$16,2)=6,),OR($B21="Chan, Man Wai",$B21="Ng Suet Ping, Yoko",$B21="Li Mui Ying",$B21="Lee Ka Po, Kathy",$B21="Huang Huanrao, Yoyo")),"HDAL",
IF(OR(WEEKDAY(H$16,2)=7,AND(WEEKDAY(H$16,2)=6,SUMPRODUCT(($B$9:$AG$10=IFERROR(VLOOKUP($B21,'On call stat'!$S$3:$T$20,2,FALSE),""))*($B$3:$AG$3=H$16))&gt;0)),"DO",
IF(SUMPRODUCT(($B$9:$AG$10=IFERROR(VLOOKUP($B21,'On call stat'!$S$3:$T$20,2,FALSE),""))*($B$3:$AG$3=H$16))&gt;0,"AL",
IF(WEEKDAY(H$16,2)=6,
IF($B21="Chan, Man Wai","HD",
IF($B21="Ng Suet Ping, Yoko","HD",
IF($B21="Li Mui Ying","HD1",
IF($B21="Huang Huanrao, Yoyo",IF(MOD(H$13,2)=1,"HD2",IFERROR(IF(SUMPRODUCT(($B$3:$AG$3=H$16)*($B$5:$AG$7=VLOOKUP($B21,'On call stat'!$S$3:$T$10,2,FALSE)))&gt;0,"D","DO"),"DO")),
IF($B21="Lee Ka Po, Kathy",IF(MOD(H$13,2)=0,"HD2",IFERROR(IF(SUMPRODUCT(($B$3:$AG$3=H$16)*($B$5:$AG$7=VLOOKUP($B21,'On call stat'!$S$3:$T$10,2,FALSE)))&gt;0,"D","DO"),"DO")),
IF($B21="Fan Hoi Wan, Ivy",IF(MOD(H$13,2)=0,"D",IFERROR(IF(SUMPRODUCT(($B$3:$AG$3=H$16)*($B$5:$AG$7=VLOOKUP($B21,'On call stat'!$S$3:$T$10,2,FALSE)))&gt;0,"D","DO"),"DO")),
IFERROR(IF(SUMPRODUCT(($B$3:$AG$3=H$16)*($B$5:$AG$7=VLOOKUP($B21,'On call stat'!$S$3:$T$10,2,FALSE)))&gt;0,"D","DO"),"DO"))))))),
IF($B21="Huang Huanrao, Yoyo",IF(MOD(H$13,2)=1,"D1","B6"),
IF($B21="Lee Ka Po, Kathy",IF(MOD(H$13,2)=0,"D1","B6"),
IFERROR(IF(SUMPRODUCT(($B$3:$AG$3=H$16)*($B$5:$AG$7=VLOOKUP($B21,'On call stat'!$S$3:$T$10,2,FALSE)))&gt;0,"E","D"),"D"))))))))</f>
        <v>DO</v>
      </c>
      <c r="I21" s="40" t="str">
        <f>IF(COUNTIF(PH!$A:$A,I$16)&gt;0,"PH",
IF(AND(SUMPRODUCT(($B$9:$AG$10=IFERROR(VLOOKUP($B21,'On call stat'!$S$3:$T$20,2,FALSE),""))*($B$3:$AG$3=I$16))&gt;0,OR(WEEKDAY(I$16,2)=6,),OR($B21="Chan, Man Wai",$B21="Ng Suet Ping, Yoko",$B21="Li Mui Ying",$B21="Lee Ka Po, Kathy",$B21="Huang Huanrao, Yoyo")),"HDAL",
IF(OR(WEEKDAY(I$16,2)=7,AND(WEEKDAY(I$16,2)=6,SUMPRODUCT(($B$9:$AG$10=IFERROR(VLOOKUP($B21,'On call stat'!$S$3:$T$20,2,FALSE),""))*($B$3:$AG$3=I$16))&gt;0)),"DO",
IF(SUMPRODUCT(($B$9:$AG$10=IFERROR(VLOOKUP($B21,'On call stat'!$S$3:$T$20,2,FALSE),""))*($B$3:$AG$3=I$16))&gt;0,"AL",
IF(WEEKDAY(I$16,2)=6,
IF($B21="Chan, Man Wai","HD",
IF($B21="Ng Suet Ping, Yoko","HD",
IF($B21="Li Mui Ying","HD1",
IF($B21="Huang Huanrao, Yoyo",IF(MOD(I$13,2)=1,"HD2",IFERROR(IF(SUMPRODUCT(($B$3:$AG$3=I$16)*($B$5:$AG$7=VLOOKUP($B21,'On call stat'!$S$3:$T$10,2,FALSE)))&gt;0,"D","DO"),"DO")),
IF($B21="Lee Ka Po, Kathy",IF(MOD(I$13,2)=0,"HD2",IFERROR(IF(SUMPRODUCT(($B$3:$AG$3=I$16)*($B$5:$AG$7=VLOOKUP($B21,'On call stat'!$S$3:$T$10,2,FALSE)))&gt;0,"D","DO"),"DO")),
IF($B21="Fan Hoi Wan, Ivy",IF(MOD(I$13,2)=0,"D",IFERROR(IF(SUMPRODUCT(($B$3:$AG$3=I$16)*($B$5:$AG$7=VLOOKUP($B21,'On call stat'!$S$3:$T$10,2,FALSE)))&gt;0,"D","DO"),"DO")),
IFERROR(IF(SUMPRODUCT(($B$3:$AG$3=I$16)*($B$5:$AG$7=VLOOKUP($B21,'On call stat'!$S$3:$T$10,2,FALSE)))&gt;0,"D","DO"),"DO"))))))),
IF($B21="Huang Huanrao, Yoyo",IF(MOD(I$13,2)=1,"D1","B6"),
IF($B21="Lee Ka Po, Kathy",IF(MOD(I$13,2)=0,"D1","B6"),
IFERROR(IF(SUMPRODUCT(($B$3:$AG$3=I$16)*($B$5:$AG$7=VLOOKUP($B21,'On call stat'!$S$3:$T$10,2,FALSE)))&gt;0,"E","D"),"D"))))))))</f>
        <v>E</v>
      </c>
      <c r="J21" s="40" t="str">
        <f>IF(COUNTIF(PH!$A:$A,J$16)&gt;0,"PH",
IF(AND(SUMPRODUCT(($B$9:$AG$10=IFERROR(VLOOKUP($B21,'On call stat'!$S$3:$T$20,2,FALSE),""))*($B$3:$AG$3=J$16))&gt;0,OR(WEEKDAY(J$16,2)=6,),OR($B21="Chan, Man Wai",$B21="Ng Suet Ping, Yoko",$B21="Li Mui Ying",$B21="Lee Ka Po, Kathy",$B21="Huang Huanrao, Yoyo")),"HDAL",
IF(OR(WEEKDAY(J$16,2)=7,AND(WEEKDAY(J$16,2)=6,SUMPRODUCT(($B$9:$AG$10=IFERROR(VLOOKUP($B21,'On call stat'!$S$3:$T$20,2,FALSE),""))*($B$3:$AG$3=J$16))&gt;0)),"DO",
IF(SUMPRODUCT(($B$9:$AG$10=IFERROR(VLOOKUP($B21,'On call stat'!$S$3:$T$20,2,FALSE),""))*($B$3:$AG$3=J$16))&gt;0,"AL",
IF(WEEKDAY(J$16,2)=6,
IF($B21="Chan, Man Wai","HD",
IF($B21="Ng Suet Ping, Yoko","HD",
IF($B21="Li Mui Ying","HD1",
IF($B21="Huang Huanrao, Yoyo",IF(MOD(J$13,2)=1,"HD2",IFERROR(IF(SUMPRODUCT(($B$3:$AG$3=J$16)*($B$5:$AG$7=VLOOKUP($B21,'On call stat'!$S$3:$T$10,2,FALSE)))&gt;0,"D","DO"),"DO")),
IF($B21="Lee Ka Po, Kathy",IF(MOD(J$13,2)=0,"HD2",IFERROR(IF(SUMPRODUCT(($B$3:$AG$3=J$16)*($B$5:$AG$7=VLOOKUP($B21,'On call stat'!$S$3:$T$10,2,FALSE)))&gt;0,"D","DO"),"DO")),
IF($B21="Fan Hoi Wan, Ivy",IF(MOD(J$13,2)=0,"D",IFERROR(IF(SUMPRODUCT(($B$3:$AG$3=J$16)*($B$5:$AG$7=VLOOKUP($B21,'On call stat'!$S$3:$T$10,2,FALSE)))&gt;0,"D","DO"),"DO")),
IFERROR(IF(SUMPRODUCT(($B$3:$AG$3=J$16)*($B$5:$AG$7=VLOOKUP($B21,'On call stat'!$S$3:$T$10,2,FALSE)))&gt;0,"D","DO"),"DO"))))))),
IF($B21="Huang Huanrao, Yoyo",IF(MOD(J$13,2)=1,"D1","B6"),
IF($B21="Lee Ka Po, Kathy",IF(MOD(J$13,2)=0,"D1","B6"),
IFERROR(IF(SUMPRODUCT(($B$3:$AG$3=J$16)*($B$5:$AG$7=VLOOKUP($B21,'On call stat'!$S$3:$T$10,2,FALSE)))&gt;0,"E","D"),"D"))))))))</f>
        <v>E</v>
      </c>
      <c r="K21" s="40" t="str">
        <f>IF(COUNTIF(PH!$A:$A,K$16)&gt;0,"PH",
IF(AND(SUMPRODUCT(($B$9:$AG$10=IFERROR(VLOOKUP($B21,'On call stat'!$S$3:$T$20,2,FALSE),""))*($B$3:$AG$3=K$16))&gt;0,OR(WEEKDAY(K$16,2)=6,),OR($B21="Chan, Man Wai",$B21="Ng Suet Ping, Yoko",$B21="Li Mui Ying",$B21="Lee Ka Po, Kathy",$B21="Huang Huanrao, Yoyo")),"HDAL",
IF(OR(WEEKDAY(K$16,2)=7,AND(WEEKDAY(K$16,2)=6,SUMPRODUCT(($B$9:$AG$10=IFERROR(VLOOKUP($B21,'On call stat'!$S$3:$T$20,2,FALSE),""))*($B$3:$AG$3=K$16))&gt;0)),"DO",
IF(SUMPRODUCT(($B$9:$AG$10=IFERROR(VLOOKUP($B21,'On call stat'!$S$3:$T$20,2,FALSE),""))*($B$3:$AG$3=K$16))&gt;0,"AL",
IF(WEEKDAY(K$16,2)=6,
IF($B21="Chan, Man Wai","HD",
IF($B21="Ng Suet Ping, Yoko","HD",
IF($B21="Li Mui Ying","HD1",
IF($B21="Huang Huanrao, Yoyo",IF(MOD(K$13,2)=1,"HD2",IFERROR(IF(SUMPRODUCT(($B$3:$AG$3=K$16)*($B$5:$AG$7=VLOOKUP($B21,'On call stat'!$S$3:$T$10,2,FALSE)))&gt;0,"D","DO"),"DO")),
IF($B21="Lee Ka Po, Kathy",IF(MOD(K$13,2)=0,"HD2",IFERROR(IF(SUMPRODUCT(($B$3:$AG$3=K$16)*($B$5:$AG$7=VLOOKUP($B21,'On call stat'!$S$3:$T$10,2,FALSE)))&gt;0,"D","DO"),"DO")),
IF($B21="Fan Hoi Wan, Ivy",IF(MOD(K$13,2)=0,"D",IFERROR(IF(SUMPRODUCT(($B$3:$AG$3=K$16)*($B$5:$AG$7=VLOOKUP($B21,'On call stat'!$S$3:$T$10,2,FALSE)))&gt;0,"D","DO"),"DO")),
IFERROR(IF(SUMPRODUCT(($B$3:$AG$3=K$16)*($B$5:$AG$7=VLOOKUP($B21,'On call stat'!$S$3:$T$10,2,FALSE)))&gt;0,"D","DO"),"DO"))))))),
IF($B21="Huang Huanrao, Yoyo",IF(MOD(K$13,2)=1,"D1","B6"),
IF($B21="Lee Ka Po, Kathy",IF(MOD(K$13,2)=0,"D1","B6"),
IFERROR(IF(SUMPRODUCT(($B$3:$AG$3=K$16)*($B$5:$AG$7=VLOOKUP($B21,'On call stat'!$S$3:$T$10,2,FALSE)))&gt;0,"E","D"),"D"))))))))</f>
        <v>E</v>
      </c>
      <c r="L21" s="40" t="str">
        <f>IF(COUNTIF(PH!$A:$A,L$16)&gt;0,"PH",
IF(AND(SUMPRODUCT(($B$9:$AG$10=IFERROR(VLOOKUP($B21,'On call stat'!$S$3:$T$20,2,FALSE),""))*($B$3:$AG$3=L$16))&gt;0,OR(WEEKDAY(L$16,2)=6,),OR($B21="Chan, Man Wai",$B21="Ng Suet Ping, Yoko",$B21="Li Mui Ying",$B21="Lee Ka Po, Kathy",$B21="Huang Huanrao, Yoyo")),"HDAL",
IF(OR(WEEKDAY(L$16,2)=7,AND(WEEKDAY(L$16,2)=6,SUMPRODUCT(($B$9:$AG$10=IFERROR(VLOOKUP($B21,'On call stat'!$S$3:$T$20,2,FALSE),""))*($B$3:$AG$3=L$16))&gt;0)),"DO",
IF(SUMPRODUCT(($B$9:$AG$10=IFERROR(VLOOKUP($B21,'On call stat'!$S$3:$T$20,2,FALSE),""))*($B$3:$AG$3=L$16))&gt;0,"AL",
IF(WEEKDAY(L$16,2)=6,
IF($B21="Chan, Man Wai","HD",
IF($B21="Ng Suet Ping, Yoko","HD",
IF($B21="Li Mui Ying","HD1",
IF($B21="Huang Huanrao, Yoyo",IF(MOD(L$13,2)=1,"HD2",IFERROR(IF(SUMPRODUCT(($B$3:$AG$3=L$16)*($B$5:$AG$7=VLOOKUP($B21,'On call stat'!$S$3:$T$10,2,FALSE)))&gt;0,"D","DO"),"DO")),
IF($B21="Lee Ka Po, Kathy",IF(MOD(L$13,2)=0,"HD2",IFERROR(IF(SUMPRODUCT(($B$3:$AG$3=L$16)*($B$5:$AG$7=VLOOKUP($B21,'On call stat'!$S$3:$T$10,2,FALSE)))&gt;0,"D","DO"),"DO")),
IF($B21="Fan Hoi Wan, Ivy",IF(MOD(L$13,2)=0,"D",IFERROR(IF(SUMPRODUCT(($B$3:$AG$3=L$16)*($B$5:$AG$7=VLOOKUP($B21,'On call stat'!$S$3:$T$10,2,FALSE)))&gt;0,"D","DO"),"DO")),
IFERROR(IF(SUMPRODUCT(($B$3:$AG$3=L$16)*($B$5:$AG$7=VLOOKUP($B21,'On call stat'!$S$3:$T$10,2,FALSE)))&gt;0,"D","DO"),"DO"))))))),
IF($B21="Huang Huanrao, Yoyo",IF(MOD(L$13,2)=1,"D1","B6"),
IF($B21="Lee Ka Po, Kathy",IF(MOD(L$13,2)=0,"D1","B6"),
IFERROR(IF(SUMPRODUCT(($B$3:$AG$3=L$16)*($B$5:$AG$7=VLOOKUP($B21,'On call stat'!$S$3:$T$10,2,FALSE)))&gt;0,"E","D"),"D"))))))))</f>
        <v>E</v>
      </c>
      <c r="M21" s="40" t="str">
        <f>IF(COUNTIF(PH!$A:$A,M$16)&gt;0,"PH",
IF(AND(SUMPRODUCT(($B$9:$AG$10=IFERROR(VLOOKUP($B21,'On call stat'!$S$3:$T$20,2,FALSE),""))*($B$3:$AG$3=M$16))&gt;0,OR(WEEKDAY(M$16,2)=6,),OR($B21="Chan, Man Wai",$B21="Ng Suet Ping, Yoko",$B21="Li Mui Ying",$B21="Lee Ka Po, Kathy",$B21="Huang Huanrao, Yoyo")),"HDAL",
IF(OR(WEEKDAY(M$16,2)=7,AND(WEEKDAY(M$16,2)=6,SUMPRODUCT(($B$9:$AG$10=IFERROR(VLOOKUP($B21,'On call stat'!$S$3:$T$20,2,FALSE),""))*($B$3:$AG$3=M$16))&gt;0)),"DO",
IF(SUMPRODUCT(($B$9:$AG$10=IFERROR(VLOOKUP($B21,'On call stat'!$S$3:$T$20,2,FALSE),""))*($B$3:$AG$3=M$16))&gt;0,"AL",
IF(WEEKDAY(M$16,2)=6,
IF($B21="Chan, Man Wai","HD",
IF($B21="Ng Suet Ping, Yoko","HD",
IF($B21="Li Mui Ying","HD1",
IF($B21="Huang Huanrao, Yoyo",IF(MOD(M$13,2)=1,"HD2",IFERROR(IF(SUMPRODUCT(($B$3:$AG$3=M$16)*($B$5:$AG$7=VLOOKUP($B21,'On call stat'!$S$3:$T$10,2,FALSE)))&gt;0,"D","DO"),"DO")),
IF($B21="Lee Ka Po, Kathy",IF(MOD(M$13,2)=0,"HD2",IFERROR(IF(SUMPRODUCT(($B$3:$AG$3=M$16)*($B$5:$AG$7=VLOOKUP($B21,'On call stat'!$S$3:$T$10,2,FALSE)))&gt;0,"D","DO"),"DO")),
IF($B21="Fan Hoi Wan, Ivy",IF(MOD(M$13,2)=0,"D",IFERROR(IF(SUMPRODUCT(($B$3:$AG$3=M$16)*($B$5:$AG$7=VLOOKUP($B21,'On call stat'!$S$3:$T$10,2,FALSE)))&gt;0,"D","DO"),"DO")),
IFERROR(IF(SUMPRODUCT(($B$3:$AG$3=M$16)*($B$5:$AG$7=VLOOKUP($B21,'On call stat'!$S$3:$T$10,2,FALSE)))&gt;0,"D","DO"),"DO"))))))),
IF($B21="Huang Huanrao, Yoyo",IF(MOD(M$13,2)=1,"D1","B6"),
IF($B21="Lee Ka Po, Kathy",IF(MOD(M$13,2)=0,"D1","B6"),
IFERROR(IF(SUMPRODUCT(($B$3:$AG$3=M$16)*($B$5:$AG$7=VLOOKUP($B21,'On call stat'!$S$3:$T$10,2,FALSE)))&gt;0,"E","D"),"D"))))))))</f>
        <v>E</v>
      </c>
      <c r="N21" s="40" t="str">
        <f>IF(COUNTIF(PH!$A:$A,N$16)&gt;0,"PH",
IF(AND(SUMPRODUCT(($B$9:$AG$10=IFERROR(VLOOKUP($B21,'On call stat'!$S$3:$T$20,2,FALSE),""))*($B$3:$AG$3=N$16))&gt;0,OR(WEEKDAY(N$16,2)=6,),OR($B21="Chan, Man Wai",$B21="Ng Suet Ping, Yoko",$B21="Li Mui Ying",$B21="Lee Ka Po, Kathy",$B21="Huang Huanrao, Yoyo")),"HDAL",
IF(OR(WEEKDAY(N$16,2)=7,AND(WEEKDAY(N$16,2)=6,SUMPRODUCT(($B$9:$AG$10=IFERROR(VLOOKUP($B21,'On call stat'!$S$3:$T$20,2,FALSE),""))*($B$3:$AG$3=N$16))&gt;0)),"DO",
IF(SUMPRODUCT(($B$9:$AG$10=IFERROR(VLOOKUP($B21,'On call stat'!$S$3:$T$20,2,FALSE),""))*($B$3:$AG$3=N$16))&gt;0,"AL",
IF(WEEKDAY(N$16,2)=6,
IF($B21="Chan, Man Wai","HD",
IF($B21="Ng Suet Ping, Yoko","HD",
IF($B21="Li Mui Ying","HD1",
IF($B21="Huang Huanrao, Yoyo",IF(MOD(N$13,2)=1,"HD2",IFERROR(IF(SUMPRODUCT(($B$3:$AG$3=N$16)*($B$5:$AG$7=VLOOKUP($B21,'On call stat'!$S$3:$T$10,2,FALSE)))&gt;0,"D","DO"),"DO")),
IF($B21="Lee Ka Po, Kathy",IF(MOD(N$13,2)=0,"HD2",IFERROR(IF(SUMPRODUCT(($B$3:$AG$3=N$16)*($B$5:$AG$7=VLOOKUP($B21,'On call stat'!$S$3:$T$10,2,FALSE)))&gt;0,"D","DO"),"DO")),
IF($B21="Fan Hoi Wan, Ivy",IF(MOD(N$13,2)=0,"D",IFERROR(IF(SUMPRODUCT(($B$3:$AG$3=N$16)*($B$5:$AG$7=VLOOKUP($B21,'On call stat'!$S$3:$T$10,2,FALSE)))&gt;0,"D","DO"),"DO")),
IFERROR(IF(SUMPRODUCT(($B$3:$AG$3=N$16)*($B$5:$AG$7=VLOOKUP($B21,'On call stat'!$S$3:$T$10,2,FALSE)))&gt;0,"D","DO"),"DO"))))))),
IF($B21="Huang Huanrao, Yoyo",IF(MOD(N$13,2)=1,"D1","B6"),
IF($B21="Lee Ka Po, Kathy",IF(MOD(N$13,2)=0,"D1","B6"),
IFERROR(IF(SUMPRODUCT(($B$3:$AG$3=N$16)*($B$5:$AG$7=VLOOKUP($B21,'On call stat'!$S$3:$T$10,2,FALSE)))&gt;0,"E","D"),"D"))))))))</f>
        <v>D</v>
      </c>
      <c r="O21" s="40" t="str">
        <f>IF(COUNTIF(PH!$A:$A,O$16)&gt;0,"PH",
IF(AND(SUMPRODUCT(($B$9:$AG$10=IFERROR(VLOOKUP($B21,'On call stat'!$S$3:$T$20,2,FALSE),""))*($B$3:$AG$3=O$16))&gt;0,OR(WEEKDAY(O$16,2)=6,),OR($B21="Chan, Man Wai",$B21="Ng Suet Ping, Yoko",$B21="Li Mui Ying",$B21="Lee Ka Po, Kathy",$B21="Huang Huanrao, Yoyo")),"HDAL",
IF(OR(WEEKDAY(O$16,2)=7,AND(WEEKDAY(O$16,2)=6,SUMPRODUCT(($B$9:$AG$10=IFERROR(VLOOKUP($B21,'On call stat'!$S$3:$T$20,2,FALSE),""))*($B$3:$AG$3=O$16))&gt;0)),"DO",
IF(SUMPRODUCT(($B$9:$AG$10=IFERROR(VLOOKUP($B21,'On call stat'!$S$3:$T$20,2,FALSE),""))*($B$3:$AG$3=O$16))&gt;0,"AL",
IF(WEEKDAY(O$16,2)=6,
IF($B21="Chan, Man Wai","HD",
IF($B21="Ng Suet Ping, Yoko","HD",
IF($B21="Li Mui Ying","HD1",
IF($B21="Huang Huanrao, Yoyo",IF(MOD(O$13,2)=1,"HD2",IFERROR(IF(SUMPRODUCT(($B$3:$AG$3=O$16)*($B$5:$AG$7=VLOOKUP($B21,'On call stat'!$S$3:$T$10,2,FALSE)))&gt;0,"D","DO"),"DO")),
IF($B21="Lee Ka Po, Kathy",IF(MOD(O$13,2)=0,"HD2",IFERROR(IF(SUMPRODUCT(($B$3:$AG$3=O$16)*($B$5:$AG$7=VLOOKUP($B21,'On call stat'!$S$3:$T$10,2,FALSE)))&gt;0,"D","DO"),"DO")),
IF($B21="Fan Hoi Wan, Ivy",IF(MOD(O$13,2)=0,"D",IFERROR(IF(SUMPRODUCT(($B$3:$AG$3=O$16)*($B$5:$AG$7=VLOOKUP($B21,'On call stat'!$S$3:$T$10,2,FALSE)))&gt;0,"D","DO"),"DO")),
IFERROR(IF(SUMPRODUCT(($B$3:$AG$3=O$16)*($B$5:$AG$7=VLOOKUP($B21,'On call stat'!$S$3:$T$10,2,FALSE)))&gt;0,"D","DO"),"DO"))))))),
IF($B21="Huang Huanrao, Yoyo",IF(MOD(O$13,2)=1,"D1","B6"),
IF($B21="Lee Ka Po, Kathy",IF(MOD(O$13,2)=0,"D1","B6"),
IFERROR(IF(SUMPRODUCT(($B$3:$AG$3=O$16)*($B$5:$AG$7=VLOOKUP($B21,'On call stat'!$S$3:$T$10,2,FALSE)))&gt;0,"E","D"),"D"))))))))</f>
        <v>DO</v>
      </c>
      <c r="P21" s="40" t="str">
        <f>IF(COUNTIF(PH!$A:$A,P$16)&gt;0,"PH",
IF(AND(SUMPRODUCT(($B$9:$AG$10=IFERROR(VLOOKUP($B21,'On call stat'!$S$3:$T$20,2,FALSE),""))*($B$3:$AG$3=P$16))&gt;0,OR(WEEKDAY(P$16,2)=6,),OR($B21="Chan, Man Wai",$B21="Ng Suet Ping, Yoko",$B21="Li Mui Ying",$B21="Lee Ka Po, Kathy",$B21="Huang Huanrao, Yoyo")),"HDAL",
IF(OR(WEEKDAY(P$16,2)=7,AND(WEEKDAY(P$16,2)=6,SUMPRODUCT(($B$9:$AG$10=IFERROR(VLOOKUP($B21,'On call stat'!$S$3:$T$20,2,FALSE),""))*($B$3:$AG$3=P$16))&gt;0)),"DO",
IF(SUMPRODUCT(($B$9:$AG$10=IFERROR(VLOOKUP($B21,'On call stat'!$S$3:$T$20,2,FALSE),""))*($B$3:$AG$3=P$16))&gt;0,"AL",
IF(WEEKDAY(P$16,2)=6,
IF($B21="Chan, Man Wai","HD",
IF($B21="Ng Suet Ping, Yoko","HD",
IF($B21="Li Mui Ying","HD1",
IF($B21="Huang Huanrao, Yoyo",IF(MOD(P$13,2)=1,"HD2",IFERROR(IF(SUMPRODUCT(($B$3:$AG$3=P$16)*($B$5:$AG$7=VLOOKUP($B21,'On call stat'!$S$3:$T$10,2,FALSE)))&gt;0,"D","DO"),"DO")),
IF($B21="Lee Ka Po, Kathy",IF(MOD(P$13,2)=0,"HD2",IFERROR(IF(SUMPRODUCT(($B$3:$AG$3=P$16)*($B$5:$AG$7=VLOOKUP($B21,'On call stat'!$S$3:$T$10,2,FALSE)))&gt;0,"D","DO"),"DO")),
IF($B21="Fan Hoi Wan, Ivy",IF(MOD(P$13,2)=0,"D",IFERROR(IF(SUMPRODUCT(($B$3:$AG$3=P$16)*($B$5:$AG$7=VLOOKUP($B21,'On call stat'!$S$3:$T$10,2,FALSE)))&gt;0,"D","DO"),"DO")),
IFERROR(IF(SUMPRODUCT(($B$3:$AG$3=P$16)*($B$5:$AG$7=VLOOKUP($B21,'On call stat'!$S$3:$T$10,2,FALSE)))&gt;0,"D","DO"),"DO"))))))),
IF($B21="Huang Huanrao, Yoyo",IF(MOD(P$13,2)=1,"D1","B6"),
IF($B21="Lee Ka Po, Kathy",IF(MOD(P$13,2)=0,"D1","B6"),
IFERROR(IF(SUMPRODUCT(($B$3:$AG$3=P$16)*($B$5:$AG$7=VLOOKUP($B21,'On call stat'!$S$3:$T$10,2,FALSE)))&gt;0,"E","D"),"D"))))))))</f>
        <v>D</v>
      </c>
      <c r="Q21" s="40" t="str">
        <f>IF(COUNTIF(PH!$A:$A,Q$16)&gt;0,"PH",
IF(AND(SUMPRODUCT(($B$9:$AG$10=IFERROR(VLOOKUP($B21,'On call stat'!$S$3:$T$20,2,FALSE),""))*($B$3:$AG$3=Q$16))&gt;0,OR(WEEKDAY(Q$16,2)=6,),OR($B21="Chan, Man Wai",$B21="Ng Suet Ping, Yoko",$B21="Li Mui Ying",$B21="Lee Ka Po, Kathy",$B21="Huang Huanrao, Yoyo")),"HDAL",
IF(OR(WEEKDAY(Q$16,2)=7,AND(WEEKDAY(Q$16,2)=6,SUMPRODUCT(($B$9:$AG$10=IFERROR(VLOOKUP($B21,'On call stat'!$S$3:$T$20,2,FALSE),""))*($B$3:$AG$3=Q$16))&gt;0)),"DO",
IF(SUMPRODUCT(($B$9:$AG$10=IFERROR(VLOOKUP($B21,'On call stat'!$S$3:$T$20,2,FALSE),""))*($B$3:$AG$3=Q$16))&gt;0,"AL",
IF(WEEKDAY(Q$16,2)=6,
IF($B21="Chan, Man Wai","HD",
IF($B21="Ng Suet Ping, Yoko","HD",
IF($B21="Li Mui Ying","HD1",
IF($B21="Huang Huanrao, Yoyo",IF(MOD(Q$13,2)=1,"HD2",IFERROR(IF(SUMPRODUCT(($B$3:$AG$3=Q$16)*($B$5:$AG$7=VLOOKUP($B21,'On call stat'!$S$3:$T$10,2,FALSE)))&gt;0,"D","DO"),"DO")),
IF($B21="Lee Ka Po, Kathy",IF(MOD(Q$13,2)=0,"HD2",IFERROR(IF(SUMPRODUCT(($B$3:$AG$3=Q$16)*($B$5:$AG$7=VLOOKUP($B21,'On call stat'!$S$3:$T$10,2,FALSE)))&gt;0,"D","DO"),"DO")),
IF($B21="Fan Hoi Wan, Ivy",IF(MOD(Q$13,2)=0,"D",IFERROR(IF(SUMPRODUCT(($B$3:$AG$3=Q$16)*($B$5:$AG$7=VLOOKUP($B21,'On call stat'!$S$3:$T$10,2,FALSE)))&gt;0,"D","DO"),"DO")),
IFERROR(IF(SUMPRODUCT(($B$3:$AG$3=Q$16)*($B$5:$AG$7=VLOOKUP($B21,'On call stat'!$S$3:$T$10,2,FALSE)))&gt;0,"D","DO"),"DO"))))))),
IF($B21="Huang Huanrao, Yoyo",IF(MOD(Q$13,2)=1,"D1","B6"),
IF($B21="Lee Ka Po, Kathy",IF(MOD(Q$13,2)=0,"D1","B6"),
IFERROR(IF(SUMPRODUCT(($B$3:$AG$3=Q$16)*($B$5:$AG$7=VLOOKUP($B21,'On call stat'!$S$3:$T$10,2,FALSE)))&gt;0,"E","D"),"D"))))))))</f>
        <v>D</v>
      </c>
      <c r="R21" s="40" t="str">
        <f>IF(COUNTIF(PH!$A:$A,R$16)&gt;0,"PH",
IF(AND(SUMPRODUCT(($B$9:$AG$10=IFERROR(VLOOKUP($B21,'On call stat'!$S$3:$T$20,2,FALSE),""))*($B$3:$AG$3=R$16))&gt;0,OR(WEEKDAY(R$16,2)=6,),OR($B21="Chan, Man Wai",$B21="Ng Suet Ping, Yoko",$B21="Li Mui Ying",$B21="Lee Ka Po, Kathy",$B21="Huang Huanrao, Yoyo")),"HDAL",
IF(OR(WEEKDAY(R$16,2)=7,AND(WEEKDAY(R$16,2)=6,SUMPRODUCT(($B$9:$AG$10=IFERROR(VLOOKUP($B21,'On call stat'!$S$3:$T$20,2,FALSE),""))*($B$3:$AG$3=R$16))&gt;0)),"DO",
IF(SUMPRODUCT(($B$9:$AG$10=IFERROR(VLOOKUP($B21,'On call stat'!$S$3:$T$20,2,FALSE),""))*($B$3:$AG$3=R$16))&gt;0,"AL",
IF(WEEKDAY(R$16,2)=6,
IF($B21="Chan, Man Wai","HD",
IF($B21="Ng Suet Ping, Yoko","HD",
IF($B21="Li Mui Ying","HD1",
IF($B21="Huang Huanrao, Yoyo",IF(MOD(R$13,2)=1,"HD2",IFERROR(IF(SUMPRODUCT(($B$3:$AG$3=R$16)*($B$5:$AG$7=VLOOKUP($B21,'On call stat'!$S$3:$T$10,2,FALSE)))&gt;0,"D","DO"),"DO")),
IF($B21="Lee Ka Po, Kathy",IF(MOD(R$13,2)=0,"HD2",IFERROR(IF(SUMPRODUCT(($B$3:$AG$3=R$16)*($B$5:$AG$7=VLOOKUP($B21,'On call stat'!$S$3:$T$10,2,FALSE)))&gt;0,"D","DO"),"DO")),
IF($B21="Fan Hoi Wan, Ivy",IF(MOD(R$13,2)=0,"D",IFERROR(IF(SUMPRODUCT(($B$3:$AG$3=R$16)*($B$5:$AG$7=VLOOKUP($B21,'On call stat'!$S$3:$T$10,2,FALSE)))&gt;0,"D","DO"),"DO")),
IFERROR(IF(SUMPRODUCT(($B$3:$AG$3=R$16)*($B$5:$AG$7=VLOOKUP($B21,'On call stat'!$S$3:$T$10,2,FALSE)))&gt;0,"D","DO"),"DO"))))))),
IF($B21="Huang Huanrao, Yoyo",IF(MOD(R$13,2)=1,"D1","B6"),
IF($B21="Lee Ka Po, Kathy",IF(MOD(R$13,2)=0,"D1","B6"),
IFERROR(IF(SUMPRODUCT(($B$3:$AG$3=R$16)*($B$5:$AG$7=VLOOKUP($B21,'On call stat'!$S$3:$T$10,2,FALSE)))&gt;0,"E","D"),"D"))))))))</f>
        <v>D</v>
      </c>
      <c r="S21" s="40" t="str">
        <f>IF(COUNTIF(PH!$A:$A,S$16)&gt;0,"PH",
IF(AND(SUMPRODUCT(($B$9:$AG$10=IFERROR(VLOOKUP($B21,'On call stat'!$S$3:$T$20,2,FALSE),""))*($B$3:$AG$3=S$16))&gt;0,OR(WEEKDAY(S$16,2)=6,),OR($B21="Chan, Man Wai",$B21="Ng Suet Ping, Yoko",$B21="Li Mui Ying",$B21="Lee Ka Po, Kathy",$B21="Huang Huanrao, Yoyo")),"HDAL",
IF(OR(WEEKDAY(S$16,2)=7,AND(WEEKDAY(S$16,2)=6,SUMPRODUCT(($B$9:$AG$10=IFERROR(VLOOKUP($B21,'On call stat'!$S$3:$T$20,2,FALSE),""))*($B$3:$AG$3=S$16))&gt;0)),"DO",
IF(SUMPRODUCT(($B$9:$AG$10=IFERROR(VLOOKUP($B21,'On call stat'!$S$3:$T$20,2,FALSE),""))*($B$3:$AG$3=S$16))&gt;0,"AL",
IF(WEEKDAY(S$16,2)=6,
IF($B21="Chan, Man Wai","HD",
IF($B21="Ng Suet Ping, Yoko","HD",
IF($B21="Li Mui Ying","HD1",
IF($B21="Huang Huanrao, Yoyo",IF(MOD(S$13,2)=1,"HD2",IFERROR(IF(SUMPRODUCT(($B$3:$AG$3=S$16)*($B$5:$AG$7=VLOOKUP($B21,'On call stat'!$S$3:$T$10,2,FALSE)))&gt;0,"D","DO"),"DO")),
IF($B21="Lee Ka Po, Kathy",IF(MOD(S$13,2)=0,"HD2",IFERROR(IF(SUMPRODUCT(($B$3:$AG$3=S$16)*($B$5:$AG$7=VLOOKUP($B21,'On call stat'!$S$3:$T$10,2,FALSE)))&gt;0,"D","DO"),"DO")),
IF($B21="Fan Hoi Wan, Ivy",IF(MOD(S$13,2)=0,"D",IFERROR(IF(SUMPRODUCT(($B$3:$AG$3=S$16)*($B$5:$AG$7=VLOOKUP($B21,'On call stat'!$S$3:$T$10,2,FALSE)))&gt;0,"D","DO"),"DO")),
IFERROR(IF(SUMPRODUCT(($B$3:$AG$3=S$16)*($B$5:$AG$7=VLOOKUP($B21,'On call stat'!$S$3:$T$10,2,FALSE)))&gt;0,"D","DO"),"DO"))))))),
IF($B21="Huang Huanrao, Yoyo",IF(MOD(S$13,2)=1,"D1","B6"),
IF($B21="Lee Ka Po, Kathy",IF(MOD(S$13,2)=0,"D1","B6"),
IFERROR(IF(SUMPRODUCT(($B$3:$AG$3=S$16)*($B$5:$AG$7=VLOOKUP($B21,'On call stat'!$S$3:$T$10,2,FALSE)))&gt;0,"E","D"),"D"))))))))</f>
        <v>D</v>
      </c>
      <c r="T21" s="40" t="str">
        <f>IF(COUNTIF(PH!$A:$A,T$16)&gt;0,"PH",
IF(AND(SUMPRODUCT(($B$9:$AG$10=IFERROR(VLOOKUP($B21,'On call stat'!$S$3:$T$20,2,FALSE),""))*($B$3:$AG$3=T$16))&gt;0,OR(WEEKDAY(T$16,2)=6,),OR($B21="Chan, Man Wai",$B21="Ng Suet Ping, Yoko",$B21="Li Mui Ying",$B21="Lee Ka Po, Kathy",$B21="Huang Huanrao, Yoyo")),"HDAL",
IF(OR(WEEKDAY(T$16,2)=7,AND(WEEKDAY(T$16,2)=6,SUMPRODUCT(($B$9:$AG$10=IFERROR(VLOOKUP($B21,'On call stat'!$S$3:$T$20,2,FALSE),""))*($B$3:$AG$3=T$16))&gt;0)),"DO",
IF(SUMPRODUCT(($B$9:$AG$10=IFERROR(VLOOKUP($B21,'On call stat'!$S$3:$T$20,2,FALSE),""))*($B$3:$AG$3=T$16))&gt;0,"AL",
IF(WEEKDAY(T$16,2)=6,
IF($B21="Chan, Man Wai","HD",
IF($B21="Ng Suet Ping, Yoko","HD",
IF($B21="Li Mui Ying","HD1",
IF($B21="Huang Huanrao, Yoyo",IF(MOD(T$13,2)=1,"HD2",IFERROR(IF(SUMPRODUCT(($B$3:$AG$3=T$16)*($B$5:$AG$7=VLOOKUP($B21,'On call stat'!$S$3:$T$10,2,FALSE)))&gt;0,"D","DO"),"DO")),
IF($B21="Lee Ka Po, Kathy",IF(MOD(T$13,2)=0,"HD2",IFERROR(IF(SUMPRODUCT(($B$3:$AG$3=T$16)*($B$5:$AG$7=VLOOKUP($B21,'On call stat'!$S$3:$T$10,2,FALSE)))&gt;0,"D","DO"),"DO")),
IF($B21="Fan Hoi Wan, Ivy",IF(MOD(T$13,2)=0,"D",IFERROR(IF(SUMPRODUCT(($B$3:$AG$3=T$16)*($B$5:$AG$7=VLOOKUP($B21,'On call stat'!$S$3:$T$10,2,FALSE)))&gt;0,"D","DO"),"DO")),
IFERROR(IF(SUMPRODUCT(($B$3:$AG$3=T$16)*($B$5:$AG$7=VLOOKUP($B21,'On call stat'!$S$3:$T$10,2,FALSE)))&gt;0,"D","DO"),"DO"))))))),
IF($B21="Huang Huanrao, Yoyo",IF(MOD(T$13,2)=1,"D1","B6"),
IF($B21="Lee Ka Po, Kathy",IF(MOD(T$13,2)=0,"D1","B6"),
IFERROR(IF(SUMPRODUCT(($B$3:$AG$3=T$16)*($B$5:$AG$7=VLOOKUP($B21,'On call stat'!$S$3:$T$10,2,FALSE)))&gt;0,"E","D"),"D"))))))))</f>
        <v>D</v>
      </c>
      <c r="U21" s="40" t="str">
        <f>IF(COUNTIF(PH!$A:$A,U$16)&gt;0,"PH",
IF(AND(SUMPRODUCT(($B$9:$AG$10=IFERROR(VLOOKUP($B21,'On call stat'!$S$3:$T$20,2,FALSE),""))*($B$3:$AG$3=U$16))&gt;0,OR(WEEKDAY(U$16,2)=6,),OR($B21="Chan, Man Wai",$B21="Ng Suet Ping, Yoko",$B21="Li Mui Ying",$B21="Lee Ka Po, Kathy",$B21="Huang Huanrao, Yoyo")),"HDAL",
IF(OR(WEEKDAY(U$16,2)=7,AND(WEEKDAY(U$16,2)=6,SUMPRODUCT(($B$9:$AG$10=IFERROR(VLOOKUP($B21,'On call stat'!$S$3:$T$20,2,FALSE),""))*($B$3:$AG$3=U$16))&gt;0)),"DO",
IF(SUMPRODUCT(($B$9:$AG$10=IFERROR(VLOOKUP($B21,'On call stat'!$S$3:$T$20,2,FALSE),""))*($B$3:$AG$3=U$16))&gt;0,"AL",
IF(WEEKDAY(U$16,2)=6,
IF($B21="Chan, Man Wai","HD",
IF($B21="Ng Suet Ping, Yoko","HD",
IF($B21="Li Mui Ying","HD1",
IF($B21="Huang Huanrao, Yoyo",IF(MOD(U$13,2)=1,"HD2",IFERROR(IF(SUMPRODUCT(($B$3:$AG$3=U$16)*($B$5:$AG$7=VLOOKUP($B21,'On call stat'!$S$3:$T$10,2,FALSE)))&gt;0,"D","DO"),"DO")),
IF($B21="Lee Ka Po, Kathy",IF(MOD(U$13,2)=0,"HD2",IFERROR(IF(SUMPRODUCT(($B$3:$AG$3=U$16)*($B$5:$AG$7=VLOOKUP($B21,'On call stat'!$S$3:$T$10,2,FALSE)))&gt;0,"D","DO"),"DO")),
IF($B21="Fan Hoi Wan, Ivy",IF(MOD(U$13,2)=0,"D",IFERROR(IF(SUMPRODUCT(($B$3:$AG$3=U$16)*($B$5:$AG$7=VLOOKUP($B21,'On call stat'!$S$3:$T$10,2,FALSE)))&gt;0,"D","DO"),"DO")),
IFERROR(IF(SUMPRODUCT(($B$3:$AG$3=U$16)*($B$5:$AG$7=VLOOKUP($B21,'On call stat'!$S$3:$T$10,2,FALSE)))&gt;0,"D","DO"),"DO"))))))),
IF($B21="Huang Huanrao, Yoyo",IF(MOD(U$13,2)=1,"D1","B6"),
IF($B21="Lee Ka Po, Kathy",IF(MOD(U$13,2)=0,"D1","B6"),
IFERROR(IF(SUMPRODUCT(($B$3:$AG$3=U$16)*($B$5:$AG$7=VLOOKUP($B21,'On call stat'!$S$3:$T$10,2,FALSE)))&gt;0,"E","D"),"D"))))))))</f>
        <v>DO</v>
      </c>
      <c r="V21" s="40" t="str">
        <f>IF(COUNTIF(PH!$A:$A,V$16)&gt;0,"PH",
IF(AND(SUMPRODUCT(($B$9:$AG$10=IFERROR(VLOOKUP($B21,'On call stat'!$S$3:$T$20,2,FALSE),""))*($B$3:$AG$3=V$16))&gt;0,OR(WEEKDAY(V$16,2)=6,),OR($B21="Chan, Man Wai",$B21="Ng Suet Ping, Yoko",$B21="Li Mui Ying",$B21="Lee Ka Po, Kathy",$B21="Huang Huanrao, Yoyo")),"HDAL",
IF(OR(WEEKDAY(V$16,2)=7,AND(WEEKDAY(V$16,2)=6,SUMPRODUCT(($B$9:$AG$10=IFERROR(VLOOKUP($B21,'On call stat'!$S$3:$T$20,2,FALSE),""))*($B$3:$AG$3=V$16))&gt;0)),"DO",
IF(SUMPRODUCT(($B$9:$AG$10=IFERROR(VLOOKUP($B21,'On call stat'!$S$3:$T$20,2,FALSE),""))*($B$3:$AG$3=V$16))&gt;0,"AL",
IF(WEEKDAY(V$16,2)=6,
IF($B21="Chan, Man Wai","HD",
IF($B21="Ng Suet Ping, Yoko","HD",
IF($B21="Li Mui Ying","HD1",
IF($B21="Huang Huanrao, Yoyo",IF(MOD(V$13,2)=1,"HD2",IFERROR(IF(SUMPRODUCT(($B$3:$AG$3=V$16)*($B$5:$AG$7=VLOOKUP($B21,'On call stat'!$S$3:$T$10,2,FALSE)))&gt;0,"D","DO"),"DO")),
IF($B21="Lee Ka Po, Kathy",IF(MOD(V$13,2)=0,"HD2",IFERROR(IF(SUMPRODUCT(($B$3:$AG$3=V$16)*($B$5:$AG$7=VLOOKUP($B21,'On call stat'!$S$3:$T$10,2,FALSE)))&gt;0,"D","DO"),"DO")),
IF($B21="Fan Hoi Wan, Ivy",IF(MOD(V$13,2)=0,"D",IFERROR(IF(SUMPRODUCT(($B$3:$AG$3=V$16)*($B$5:$AG$7=VLOOKUP($B21,'On call stat'!$S$3:$T$10,2,FALSE)))&gt;0,"D","DO"),"DO")),
IFERROR(IF(SUMPRODUCT(($B$3:$AG$3=V$16)*($B$5:$AG$7=VLOOKUP($B21,'On call stat'!$S$3:$T$10,2,FALSE)))&gt;0,"D","DO"),"DO"))))))),
IF($B21="Huang Huanrao, Yoyo",IF(MOD(V$13,2)=1,"D1","B6"),
IF($B21="Lee Ka Po, Kathy",IF(MOD(V$13,2)=0,"D1","B6"),
IFERROR(IF(SUMPRODUCT(($B$3:$AG$3=V$16)*($B$5:$AG$7=VLOOKUP($B21,'On call stat'!$S$3:$T$10,2,FALSE)))&gt;0,"E","D"),"D"))))))))</f>
        <v>DO</v>
      </c>
      <c r="W21" s="40" t="str">
        <f>IF(COUNTIF(PH!$A:$A,W$16)&gt;0,"PH",
IF(AND(SUMPRODUCT(($B$9:$AG$10=IFERROR(VLOOKUP($B21,'On call stat'!$S$3:$T$20,2,FALSE),""))*($B$3:$AG$3=W$16))&gt;0,OR(WEEKDAY(W$16,2)=6,),OR($B21="Chan, Man Wai",$B21="Ng Suet Ping, Yoko",$B21="Li Mui Ying",$B21="Lee Ka Po, Kathy",$B21="Huang Huanrao, Yoyo")),"HDAL",
IF(OR(WEEKDAY(W$16,2)=7,AND(WEEKDAY(W$16,2)=6,SUMPRODUCT(($B$9:$AG$10=IFERROR(VLOOKUP($B21,'On call stat'!$S$3:$T$20,2,FALSE),""))*($B$3:$AG$3=W$16))&gt;0)),"DO",
IF(SUMPRODUCT(($B$9:$AG$10=IFERROR(VLOOKUP($B21,'On call stat'!$S$3:$T$20,2,FALSE),""))*($B$3:$AG$3=W$16))&gt;0,"AL",
IF(WEEKDAY(W$16,2)=6,
IF($B21="Chan, Man Wai","HD",
IF($B21="Ng Suet Ping, Yoko","HD",
IF($B21="Li Mui Ying","HD1",
IF($B21="Huang Huanrao, Yoyo",IF(MOD(W$13,2)=1,"HD2",IFERROR(IF(SUMPRODUCT(($B$3:$AG$3=W$16)*($B$5:$AG$7=VLOOKUP($B21,'On call stat'!$S$3:$T$10,2,FALSE)))&gt;0,"D","DO"),"DO")),
IF($B21="Lee Ka Po, Kathy",IF(MOD(W$13,2)=0,"HD2",IFERROR(IF(SUMPRODUCT(($B$3:$AG$3=W$16)*($B$5:$AG$7=VLOOKUP($B21,'On call stat'!$S$3:$T$10,2,FALSE)))&gt;0,"D","DO"),"DO")),
IF($B21="Fan Hoi Wan, Ivy",IF(MOD(W$13,2)=0,"D",IFERROR(IF(SUMPRODUCT(($B$3:$AG$3=W$16)*($B$5:$AG$7=VLOOKUP($B21,'On call stat'!$S$3:$T$10,2,FALSE)))&gt;0,"D","DO"),"DO")),
IFERROR(IF(SUMPRODUCT(($B$3:$AG$3=W$16)*($B$5:$AG$7=VLOOKUP($B21,'On call stat'!$S$3:$T$10,2,FALSE)))&gt;0,"D","DO"),"DO"))))))),
IF($B21="Huang Huanrao, Yoyo",IF(MOD(W$13,2)=1,"D1","B6"),
IF($B21="Lee Ka Po, Kathy",IF(MOD(W$13,2)=0,"D1","B6"),
IFERROR(IF(SUMPRODUCT(($B$3:$AG$3=W$16)*($B$5:$AG$7=VLOOKUP($B21,'On call stat'!$S$3:$T$10,2,FALSE)))&gt;0,"E","D"),"D"))))))))</f>
        <v>E</v>
      </c>
      <c r="X21" s="40" t="str">
        <f>IF(COUNTIF(PH!$A:$A,X$16)&gt;0,"PH",
IF(AND(SUMPRODUCT(($B$9:$AG$10=IFERROR(VLOOKUP($B21,'On call stat'!$S$3:$T$20,2,FALSE),""))*($B$3:$AG$3=X$16))&gt;0,OR(WEEKDAY(X$16,2)=6,),OR($B21="Chan, Man Wai",$B21="Ng Suet Ping, Yoko",$B21="Li Mui Ying",$B21="Lee Ka Po, Kathy",$B21="Huang Huanrao, Yoyo")),"HDAL",
IF(OR(WEEKDAY(X$16,2)=7,AND(WEEKDAY(X$16,2)=6,SUMPRODUCT(($B$9:$AG$10=IFERROR(VLOOKUP($B21,'On call stat'!$S$3:$T$20,2,FALSE),""))*($B$3:$AG$3=X$16))&gt;0)),"DO",
IF(SUMPRODUCT(($B$9:$AG$10=IFERROR(VLOOKUP($B21,'On call stat'!$S$3:$T$20,2,FALSE),""))*($B$3:$AG$3=X$16))&gt;0,"AL",
IF(WEEKDAY(X$16,2)=6,
IF($B21="Chan, Man Wai","HD",
IF($B21="Ng Suet Ping, Yoko","HD",
IF($B21="Li Mui Ying","HD1",
IF($B21="Huang Huanrao, Yoyo",IF(MOD(X$13,2)=1,"HD2",IFERROR(IF(SUMPRODUCT(($B$3:$AG$3=X$16)*($B$5:$AG$7=VLOOKUP($B21,'On call stat'!$S$3:$T$10,2,FALSE)))&gt;0,"D","DO"),"DO")),
IF($B21="Lee Ka Po, Kathy",IF(MOD(X$13,2)=0,"HD2",IFERROR(IF(SUMPRODUCT(($B$3:$AG$3=X$16)*($B$5:$AG$7=VLOOKUP($B21,'On call stat'!$S$3:$T$10,2,FALSE)))&gt;0,"D","DO"),"DO")),
IF($B21="Fan Hoi Wan, Ivy",IF(MOD(X$13,2)=0,"D",IFERROR(IF(SUMPRODUCT(($B$3:$AG$3=X$16)*($B$5:$AG$7=VLOOKUP($B21,'On call stat'!$S$3:$T$10,2,FALSE)))&gt;0,"D","DO"),"DO")),
IFERROR(IF(SUMPRODUCT(($B$3:$AG$3=X$16)*($B$5:$AG$7=VLOOKUP($B21,'On call stat'!$S$3:$T$10,2,FALSE)))&gt;0,"D","DO"),"DO"))))))),
IF($B21="Huang Huanrao, Yoyo",IF(MOD(X$13,2)=1,"D1","B6"),
IF($B21="Lee Ka Po, Kathy",IF(MOD(X$13,2)=0,"D1","B6"),
IFERROR(IF(SUMPRODUCT(($B$3:$AG$3=X$16)*($B$5:$AG$7=VLOOKUP($B21,'On call stat'!$S$3:$T$10,2,FALSE)))&gt;0,"E","D"),"D"))))))))</f>
        <v>E</v>
      </c>
      <c r="Y21" s="40" t="str">
        <f>IF(COUNTIF(PH!$A:$A,Y$16)&gt;0,"PH",
IF(AND(SUMPRODUCT(($B$9:$AG$10=IFERROR(VLOOKUP($B21,'On call stat'!$S$3:$T$20,2,FALSE),""))*($B$3:$AG$3=Y$16))&gt;0,OR(WEEKDAY(Y$16,2)=6,),OR($B21="Chan, Man Wai",$B21="Ng Suet Ping, Yoko",$B21="Li Mui Ying",$B21="Lee Ka Po, Kathy",$B21="Huang Huanrao, Yoyo")),"HDAL",
IF(OR(WEEKDAY(Y$16,2)=7,AND(WEEKDAY(Y$16,2)=6,SUMPRODUCT(($B$9:$AG$10=IFERROR(VLOOKUP($B21,'On call stat'!$S$3:$T$20,2,FALSE),""))*($B$3:$AG$3=Y$16))&gt;0)),"DO",
IF(SUMPRODUCT(($B$9:$AG$10=IFERROR(VLOOKUP($B21,'On call stat'!$S$3:$T$20,2,FALSE),""))*($B$3:$AG$3=Y$16))&gt;0,"AL",
IF(WEEKDAY(Y$16,2)=6,
IF($B21="Chan, Man Wai","HD",
IF($B21="Ng Suet Ping, Yoko","HD",
IF($B21="Li Mui Ying","HD1",
IF($B21="Huang Huanrao, Yoyo",IF(MOD(Y$13,2)=1,"HD2",IFERROR(IF(SUMPRODUCT(($B$3:$AG$3=Y$16)*($B$5:$AG$7=VLOOKUP($B21,'On call stat'!$S$3:$T$10,2,FALSE)))&gt;0,"D","DO"),"DO")),
IF($B21="Lee Ka Po, Kathy",IF(MOD(Y$13,2)=0,"HD2",IFERROR(IF(SUMPRODUCT(($B$3:$AG$3=Y$16)*($B$5:$AG$7=VLOOKUP($B21,'On call stat'!$S$3:$T$10,2,FALSE)))&gt;0,"D","DO"),"DO")),
IF($B21="Fan Hoi Wan, Ivy",IF(MOD(Y$13,2)=0,"D",IFERROR(IF(SUMPRODUCT(($B$3:$AG$3=Y$16)*($B$5:$AG$7=VLOOKUP($B21,'On call stat'!$S$3:$T$10,2,FALSE)))&gt;0,"D","DO"),"DO")),
IFERROR(IF(SUMPRODUCT(($B$3:$AG$3=Y$16)*($B$5:$AG$7=VLOOKUP($B21,'On call stat'!$S$3:$T$10,2,FALSE)))&gt;0,"D","DO"),"DO"))))))),
IF($B21="Huang Huanrao, Yoyo",IF(MOD(Y$13,2)=1,"D1","B6"),
IF($B21="Lee Ka Po, Kathy",IF(MOD(Y$13,2)=0,"D1","B6"),
IFERROR(IF(SUMPRODUCT(($B$3:$AG$3=Y$16)*($B$5:$AG$7=VLOOKUP($B21,'On call stat'!$S$3:$T$10,2,FALSE)))&gt;0,"E","D"),"D"))))))))</f>
        <v>E</v>
      </c>
      <c r="Z21" s="40" t="str">
        <f>IF(COUNTIF(PH!$A:$A,Z$16)&gt;0,"PH",
IF(AND(SUMPRODUCT(($B$9:$AG$10=IFERROR(VLOOKUP($B21,'On call stat'!$S$3:$T$20,2,FALSE),""))*($B$3:$AG$3=Z$16))&gt;0,OR(WEEKDAY(Z$16,2)=6,),OR($B21="Chan, Man Wai",$B21="Ng Suet Ping, Yoko",$B21="Li Mui Ying",$B21="Lee Ka Po, Kathy",$B21="Huang Huanrao, Yoyo")),"HDAL",
IF(OR(WEEKDAY(Z$16,2)=7,AND(WEEKDAY(Z$16,2)=6,SUMPRODUCT(($B$9:$AG$10=IFERROR(VLOOKUP($B21,'On call stat'!$S$3:$T$20,2,FALSE),""))*($B$3:$AG$3=Z$16))&gt;0)),"DO",
IF(SUMPRODUCT(($B$9:$AG$10=IFERROR(VLOOKUP($B21,'On call stat'!$S$3:$T$20,2,FALSE),""))*($B$3:$AG$3=Z$16))&gt;0,"AL",
IF(WEEKDAY(Z$16,2)=6,
IF($B21="Chan, Man Wai","HD",
IF($B21="Ng Suet Ping, Yoko","HD",
IF($B21="Li Mui Ying","HD1",
IF($B21="Huang Huanrao, Yoyo",IF(MOD(Z$13,2)=1,"HD2",IFERROR(IF(SUMPRODUCT(($B$3:$AG$3=Z$16)*($B$5:$AG$7=VLOOKUP($B21,'On call stat'!$S$3:$T$10,2,FALSE)))&gt;0,"D","DO"),"DO")),
IF($B21="Lee Ka Po, Kathy",IF(MOD(Z$13,2)=0,"HD2",IFERROR(IF(SUMPRODUCT(($B$3:$AG$3=Z$16)*($B$5:$AG$7=VLOOKUP($B21,'On call stat'!$S$3:$T$10,2,FALSE)))&gt;0,"D","DO"),"DO")),
IF($B21="Fan Hoi Wan, Ivy",IF(MOD(Z$13,2)=0,"D",IFERROR(IF(SUMPRODUCT(($B$3:$AG$3=Z$16)*($B$5:$AG$7=VLOOKUP($B21,'On call stat'!$S$3:$T$10,2,FALSE)))&gt;0,"D","DO"),"DO")),
IFERROR(IF(SUMPRODUCT(($B$3:$AG$3=Z$16)*($B$5:$AG$7=VLOOKUP($B21,'On call stat'!$S$3:$T$10,2,FALSE)))&gt;0,"D","DO"),"DO"))))))),
IF($B21="Huang Huanrao, Yoyo",IF(MOD(Z$13,2)=1,"D1","B6"),
IF($B21="Lee Ka Po, Kathy",IF(MOD(Z$13,2)=0,"D1","B6"),
IFERROR(IF(SUMPRODUCT(($B$3:$AG$3=Z$16)*($B$5:$AG$7=VLOOKUP($B21,'On call stat'!$S$3:$T$10,2,FALSE)))&gt;0,"E","D"),"D"))))))))</f>
        <v>E</v>
      </c>
      <c r="AA21" s="40" t="str">
        <f>IF(COUNTIF(PH!$A:$A,AA$16)&gt;0,"PH",
IF(AND(SUMPRODUCT(($B$9:$AG$10=IFERROR(VLOOKUP($B21,'On call stat'!$S$3:$T$20,2,FALSE),""))*($B$3:$AG$3=AA$16))&gt;0,OR(WEEKDAY(AA$16,2)=6,),OR($B21="Chan, Man Wai",$B21="Ng Suet Ping, Yoko",$B21="Li Mui Ying",$B21="Lee Ka Po, Kathy",$B21="Huang Huanrao, Yoyo")),"HDAL",
IF(OR(WEEKDAY(AA$16,2)=7,AND(WEEKDAY(AA$16,2)=6,SUMPRODUCT(($B$9:$AG$10=IFERROR(VLOOKUP($B21,'On call stat'!$S$3:$T$20,2,FALSE),""))*($B$3:$AG$3=AA$16))&gt;0)),"DO",
IF(SUMPRODUCT(($B$9:$AG$10=IFERROR(VLOOKUP($B21,'On call stat'!$S$3:$T$20,2,FALSE),""))*($B$3:$AG$3=AA$16))&gt;0,"AL",
IF(WEEKDAY(AA$16,2)=6,
IF($B21="Chan, Man Wai","HD",
IF($B21="Ng Suet Ping, Yoko","HD",
IF($B21="Li Mui Ying","HD1",
IF($B21="Huang Huanrao, Yoyo",IF(MOD(AA$13,2)=1,"HD2",IFERROR(IF(SUMPRODUCT(($B$3:$AG$3=AA$16)*($B$5:$AG$7=VLOOKUP($B21,'On call stat'!$S$3:$T$10,2,FALSE)))&gt;0,"D","DO"),"DO")),
IF($B21="Lee Ka Po, Kathy",IF(MOD(AA$13,2)=0,"HD2",IFERROR(IF(SUMPRODUCT(($B$3:$AG$3=AA$16)*($B$5:$AG$7=VLOOKUP($B21,'On call stat'!$S$3:$T$10,2,FALSE)))&gt;0,"D","DO"),"DO")),
IF($B21="Fan Hoi Wan, Ivy",IF(MOD(AA$13,2)=0,"D",IFERROR(IF(SUMPRODUCT(($B$3:$AG$3=AA$16)*($B$5:$AG$7=VLOOKUP($B21,'On call stat'!$S$3:$T$10,2,FALSE)))&gt;0,"D","DO"),"DO")),
IFERROR(IF(SUMPRODUCT(($B$3:$AG$3=AA$16)*($B$5:$AG$7=VLOOKUP($B21,'On call stat'!$S$3:$T$10,2,FALSE)))&gt;0,"D","DO"),"DO"))))))),
IF($B21="Huang Huanrao, Yoyo",IF(MOD(AA$13,2)=1,"D1","B6"),
IF($B21="Lee Ka Po, Kathy",IF(MOD(AA$13,2)=0,"D1","B6"),
IFERROR(IF(SUMPRODUCT(($B$3:$AG$3=AA$16)*($B$5:$AG$7=VLOOKUP($B21,'On call stat'!$S$3:$T$10,2,FALSE)))&gt;0,"E","D"),"D"))))))))</f>
        <v>PH</v>
      </c>
      <c r="AB21" s="40" t="str">
        <f>IF(COUNTIF(PH!$A:$A,AB$16)&gt;0,"PH",
IF(AND(SUMPRODUCT(($B$9:$AG$10=IFERROR(VLOOKUP($B21,'On call stat'!$S$3:$T$20,2,FALSE),""))*($B$3:$AG$3=AB$16))&gt;0,OR(WEEKDAY(AB$16,2)=6,),OR($B21="Chan, Man Wai",$B21="Ng Suet Ping, Yoko",$B21="Li Mui Ying",$B21="Lee Ka Po, Kathy",$B21="Huang Huanrao, Yoyo")),"HDAL",
IF(OR(WEEKDAY(AB$16,2)=7,AND(WEEKDAY(AB$16,2)=6,SUMPRODUCT(($B$9:$AG$10=IFERROR(VLOOKUP($B21,'On call stat'!$S$3:$T$20,2,FALSE),""))*($B$3:$AG$3=AB$16))&gt;0)),"DO",
IF(SUMPRODUCT(($B$9:$AG$10=IFERROR(VLOOKUP($B21,'On call stat'!$S$3:$T$20,2,FALSE),""))*($B$3:$AG$3=AB$16))&gt;0,"AL",
IF(WEEKDAY(AB$16,2)=6,
IF($B21="Chan, Man Wai","HD",
IF($B21="Ng Suet Ping, Yoko","HD",
IF($B21="Li Mui Ying","HD1",
IF($B21="Huang Huanrao, Yoyo",IF(MOD(AB$13,2)=1,"HD2",IFERROR(IF(SUMPRODUCT(($B$3:$AG$3=AB$16)*($B$5:$AG$7=VLOOKUP($B21,'On call stat'!$S$3:$T$10,2,FALSE)))&gt;0,"D","DO"),"DO")),
IF($B21="Lee Ka Po, Kathy",IF(MOD(AB$13,2)=0,"HD2",IFERROR(IF(SUMPRODUCT(($B$3:$AG$3=AB$16)*($B$5:$AG$7=VLOOKUP($B21,'On call stat'!$S$3:$T$10,2,FALSE)))&gt;0,"D","DO"),"DO")),
IF($B21="Fan Hoi Wan, Ivy",IF(MOD(AB$13,2)=0,"D",IFERROR(IF(SUMPRODUCT(($B$3:$AG$3=AB$16)*($B$5:$AG$7=VLOOKUP($B21,'On call stat'!$S$3:$T$10,2,FALSE)))&gt;0,"D","DO"),"DO")),
IFERROR(IF(SUMPRODUCT(($B$3:$AG$3=AB$16)*($B$5:$AG$7=VLOOKUP($B21,'On call stat'!$S$3:$T$10,2,FALSE)))&gt;0,"D","DO"),"DO"))))))),
IF($B21="Huang Huanrao, Yoyo",IF(MOD(AB$13,2)=1,"D1","B6"),
IF($B21="Lee Ka Po, Kathy",IF(MOD(AB$13,2)=0,"D1","B6"),
IFERROR(IF(SUMPRODUCT(($B$3:$AG$3=AB$16)*($B$5:$AG$7=VLOOKUP($B21,'On call stat'!$S$3:$T$10,2,FALSE)))&gt;0,"E","D"),"D"))))))))</f>
        <v>PH</v>
      </c>
      <c r="AC21" s="40" t="str">
        <f>IF(COUNTIF(PH!$A:$A,AC$16)&gt;0,"PH",
IF(AND(SUMPRODUCT(($B$9:$AG$10=IFERROR(VLOOKUP($B21,'On call stat'!$S$3:$T$20,2,FALSE),""))*($B$3:$AG$3=AC$16))&gt;0,OR(WEEKDAY(AC$16,2)=6,),OR($B21="Chan, Man Wai",$B21="Ng Suet Ping, Yoko",$B21="Li Mui Ying",$B21="Lee Ka Po, Kathy",$B21="Huang Huanrao, Yoyo")),"HDAL",
IF(OR(WEEKDAY(AC$16,2)=7,AND(WEEKDAY(AC$16,2)=6,SUMPRODUCT(($B$9:$AG$10=IFERROR(VLOOKUP($B21,'On call stat'!$S$3:$T$20,2,FALSE),""))*($B$3:$AG$3=AC$16))&gt;0)),"DO",
IF(SUMPRODUCT(($B$9:$AG$10=IFERROR(VLOOKUP($B21,'On call stat'!$S$3:$T$20,2,FALSE),""))*($B$3:$AG$3=AC$16))&gt;0,"AL",
IF(WEEKDAY(AC$16,2)=6,
IF($B21="Chan, Man Wai","HD",
IF($B21="Ng Suet Ping, Yoko","HD",
IF($B21="Li Mui Ying","HD1",
IF($B21="Huang Huanrao, Yoyo",IF(MOD(AC$13,2)=1,"HD2",IFERROR(IF(SUMPRODUCT(($B$3:$AG$3=AC$16)*($B$5:$AG$7=VLOOKUP($B21,'On call stat'!$S$3:$T$10,2,FALSE)))&gt;0,"D","DO"),"DO")),
IF($B21="Lee Ka Po, Kathy",IF(MOD(AC$13,2)=0,"HD2",IFERROR(IF(SUMPRODUCT(($B$3:$AG$3=AC$16)*($B$5:$AG$7=VLOOKUP($B21,'On call stat'!$S$3:$T$10,2,FALSE)))&gt;0,"D","DO"),"DO")),
IF($B21="Fan Hoi Wan, Ivy",IF(MOD(AC$13,2)=0,"D",IFERROR(IF(SUMPRODUCT(($B$3:$AG$3=AC$16)*($B$5:$AG$7=VLOOKUP($B21,'On call stat'!$S$3:$T$10,2,FALSE)))&gt;0,"D","DO"),"DO")),
IFERROR(IF(SUMPRODUCT(($B$3:$AG$3=AC$16)*($B$5:$AG$7=VLOOKUP($B21,'On call stat'!$S$3:$T$10,2,FALSE)))&gt;0,"D","DO"),"DO"))))))),
IF($B21="Huang Huanrao, Yoyo",IF(MOD(AC$13,2)=1,"D1","B6"),
IF($B21="Lee Ka Po, Kathy",IF(MOD(AC$13,2)=0,"D1","B6"),
IFERROR(IF(SUMPRODUCT(($B$3:$AG$3=AC$16)*($B$5:$AG$7=VLOOKUP($B21,'On call stat'!$S$3:$T$10,2,FALSE)))&gt;0,"E","D"),"D"))))))))</f>
        <v>DO</v>
      </c>
      <c r="AD21" s="40" t="str">
        <f>IF(COUNTIF(PH!$A:$A,AD$16)&gt;0,"PH",
IF(AND(SUMPRODUCT(($B$9:$AG$10=IFERROR(VLOOKUP($B21,'On call stat'!$S$3:$T$20,2,FALSE),""))*($B$3:$AG$3=AD$16))&gt;0,OR(WEEKDAY(AD$16,2)=6,),OR($B21="Chan, Man Wai",$B21="Ng Suet Ping, Yoko",$B21="Li Mui Ying",$B21="Lee Ka Po, Kathy",$B21="Huang Huanrao, Yoyo")),"HDAL",
IF(OR(WEEKDAY(AD$16,2)=7,AND(WEEKDAY(AD$16,2)=6,SUMPRODUCT(($B$9:$AG$10=IFERROR(VLOOKUP($B21,'On call stat'!$S$3:$T$20,2,FALSE),""))*($B$3:$AG$3=AD$16))&gt;0)),"DO",
IF(SUMPRODUCT(($B$9:$AG$10=IFERROR(VLOOKUP($B21,'On call stat'!$S$3:$T$20,2,FALSE),""))*($B$3:$AG$3=AD$16))&gt;0,"AL",
IF(WEEKDAY(AD$16,2)=6,
IF($B21="Chan, Man Wai","HD",
IF($B21="Ng Suet Ping, Yoko","HD",
IF($B21="Li Mui Ying","HD1",
IF($B21="Huang Huanrao, Yoyo",IF(MOD(AD$13,2)=1,"HD2",IFERROR(IF(SUMPRODUCT(($B$3:$AG$3=AD$16)*($B$5:$AG$7=VLOOKUP($B21,'On call stat'!$S$3:$T$10,2,FALSE)))&gt;0,"D","DO"),"DO")),
IF($B21="Lee Ka Po, Kathy",IF(MOD(AD$13,2)=0,"HD2",IFERROR(IF(SUMPRODUCT(($B$3:$AG$3=AD$16)*($B$5:$AG$7=VLOOKUP($B21,'On call stat'!$S$3:$T$10,2,FALSE)))&gt;0,"D","DO"),"DO")),
IF($B21="Fan Hoi Wan, Ivy",IF(MOD(AD$13,2)=0,"D",IFERROR(IF(SUMPRODUCT(($B$3:$AG$3=AD$16)*($B$5:$AG$7=VLOOKUP($B21,'On call stat'!$S$3:$T$10,2,FALSE)))&gt;0,"D","DO"),"DO")),
IFERROR(IF(SUMPRODUCT(($B$3:$AG$3=AD$16)*($B$5:$AG$7=VLOOKUP($B21,'On call stat'!$S$3:$T$10,2,FALSE)))&gt;0,"D","DO"),"DO"))))))),
IF($B21="Huang Huanrao, Yoyo",IF(MOD(AD$13,2)=1,"D1","B6"),
IF($B21="Lee Ka Po, Kathy",IF(MOD(AD$13,2)=0,"D1","B6"),
IFERROR(IF(SUMPRODUCT(($B$3:$AG$3=AD$16)*($B$5:$AG$7=VLOOKUP($B21,'On call stat'!$S$3:$T$10,2,FALSE)))&gt;0,"E","D"),"D"))))))))</f>
        <v>E</v>
      </c>
      <c r="AE21" s="40" t="str">
        <f>IF(COUNTIF(PH!$A:$A,AE$16)&gt;0,"PH",
IF(AND(SUMPRODUCT(($B$9:$AG$10=IFERROR(VLOOKUP($B21,'On call stat'!$S$3:$T$20,2,FALSE),""))*($B$3:$AG$3=AE$16))&gt;0,OR(WEEKDAY(AE$16,2)=6,),OR($B21="Chan, Man Wai",$B21="Ng Suet Ping, Yoko",$B21="Li Mui Ying",$B21="Lee Ka Po, Kathy",$B21="Huang Huanrao, Yoyo")),"HDAL",
IF(OR(WEEKDAY(AE$16,2)=7,AND(WEEKDAY(AE$16,2)=6,SUMPRODUCT(($B$9:$AG$10=IFERROR(VLOOKUP($B21,'On call stat'!$S$3:$T$20,2,FALSE),""))*($B$3:$AG$3=AE$16))&gt;0)),"DO",
IF(SUMPRODUCT(($B$9:$AG$10=IFERROR(VLOOKUP($B21,'On call stat'!$S$3:$T$20,2,FALSE),""))*($B$3:$AG$3=AE$16))&gt;0,"AL",
IF(WEEKDAY(AE$16,2)=6,
IF($B21="Chan, Man Wai","HD",
IF($B21="Ng Suet Ping, Yoko","HD",
IF($B21="Li Mui Ying","HD1",
IF($B21="Huang Huanrao, Yoyo",IF(MOD(AE$13,2)=1,"HD2",IFERROR(IF(SUMPRODUCT(($B$3:$AG$3=AE$16)*($B$5:$AG$7=VLOOKUP($B21,'On call stat'!$S$3:$T$10,2,FALSE)))&gt;0,"D","DO"),"DO")),
IF($B21="Lee Ka Po, Kathy",IF(MOD(AE$13,2)=0,"HD2",IFERROR(IF(SUMPRODUCT(($B$3:$AG$3=AE$16)*($B$5:$AG$7=VLOOKUP($B21,'On call stat'!$S$3:$T$10,2,FALSE)))&gt;0,"D","DO"),"DO")),
IF($B21="Fan Hoi Wan, Ivy",IF(MOD(AE$13,2)=0,"D",IFERROR(IF(SUMPRODUCT(($B$3:$AG$3=AE$16)*($B$5:$AG$7=VLOOKUP($B21,'On call stat'!$S$3:$T$10,2,FALSE)))&gt;0,"D","DO"),"DO")),
IFERROR(IF(SUMPRODUCT(($B$3:$AG$3=AE$16)*($B$5:$AG$7=VLOOKUP($B21,'On call stat'!$S$3:$T$10,2,FALSE)))&gt;0,"D","DO"),"DO"))))))),
IF($B21="Huang Huanrao, Yoyo",IF(MOD(AE$13,2)=1,"D1","B6"),
IF($B21="Lee Ka Po, Kathy",IF(MOD(AE$13,2)=0,"D1","B6"),
IFERROR(IF(SUMPRODUCT(($B$3:$AG$3=AE$16)*($B$5:$AG$7=VLOOKUP($B21,'On call stat'!$S$3:$T$10,2,FALSE)))&gt;0,"E","D"),"D"))))))))</f>
        <v>E</v>
      </c>
      <c r="AF21" s="40" t="str">
        <f>IF(COUNTIF(PH!$A:$A,AF$16)&gt;0,"PH",
IF(AND(SUMPRODUCT(($B$9:$AG$10=IFERROR(VLOOKUP($B21,'On call stat'!$S$3:$T$20,2,FALSE),""))*($B$3:$AG$3=AF$16))&gt;0,OR(WEEKDAY(AF$16,2)=6,),OR($B21="Chan, Man Wai",$B21="Ng Suet Ping, Yoko",$B21="Li Mui Ying",$B21="Lee Ka Po, Kathy",$B21="Huang Huanrao, Yoyo")),"HDAL",
IF(OR(WEEKDAY(AF$16,2)=7,AND(WEEKDAY(AF$16,2)=6,SUMPRODUCT(($B$9:$AG$10=IFERROR(VLOOKUP($B21,'On call stat'!$S$3:$T$20,2,FALSE),""))*($B$3:$AG$3=AF$16))&gt;0)),"DO",
IF(SUMPRODUCT(($B$9:$AG$10=IFERROR(VLOOKUP($B21,'On call stat'!$S$3:$T$20,2,FALSE),""))*($B$3:$AG$3=AF$16))&gt;0,"AL",
IF(WEEKDAY(AF$16,2)=6,
IF($B21="Chan, Man Wai","HD",
IF($B21="Ng Suet Ping, Yoko","HD",
IF($B21="Li Mui Ying","HD1",
IF($B21="Huang Huanrao, Yoyo",IF(MOD(AF$13,2)=1,"HD2",IFERROR(IF(SUMPRODUCT(($B$3:$AG$3=AF$16)*($B$5:$AG$7=VLOOKUP($B21,'On call stat'!$S$3:$T$10,2,FALSE)))&gt;0,"D","DO"),"DO")),
IF($B21="Lee Ka Po, Kathy",IF(MOD(AF$13,2)=0,"HD2",IFERROR(IF(SUMPRODUCT(($B$3:$AG$3=AF$16)*($B$5:$AG$7=VLOOKUP($B21,'On call stat'!$S$3:$T$10,2,FALSE)))&gt;0,"D","DO"),"DO")),
IF($B21="Fan Hoi Wan, Ivy",IF(MOD(AF$13,2)=0,"D",IFERROR(IF(SUMPRODUCT(($B$3:$AG$3=AF$16)*($B$5:$AG$7=VLOOKUP($B21,'On call stat'!$S$3:$T$10,2,FALSE)))&gt;0,"D","DO"),"DO")),
IFERROR(IF(SUMPRODUCT(($B$3:$AG$3=AF$16)*($B$5:$AG$7=VLOOKUP($B21,'On call stat'!$S$3:$T$10,2,FALSE)))&gt;0,"D","DO"),"DO"))))))),
IF($B21="Huang Huanrao, Yoyo",IF(MOD(AF$13,2)=1,"D1","B6"),
IF($B21="Lee Ka Po, Kathy",IF(MOD(AF$13,2)=0,"D1","B6"),
IFERROR(IF(SUMPRODUCT(($B$3:$AG$3=AF$16)*($B$5:$AG$7=VLOOKUP($B21,'On call stat'!$S$3:$T$10,2,FALSE)))&gt;0,"E","D"),"D"))))))))</f>
        <v>E</v>
      </c>
      <c r="AG21" s="40" t="str">
        <f>IF(COUNTIF(PH!$A:$A,AG$16)&gt;0,"PH",
IF(AND(SUMPRODUCT(($B$9:$AG$10=IFERROR(VLOOKUP($B21,'On call stat'!$S$3:$T$20,2,FALSE),""))*($B$3:$AG$3=AG$16))&gt;0,OR(WEEKDAY(AG$16,2)=6,),OR($B21="Chan, Man Wai",$B21="Ng Suet Ping, Yoko",$B21="Li Mui Ying",$B21="Lee Ka Po, Kathy",$B21="Huang Huanrao, Yoyo")),"HDAL",
IF(OR(WEEKDAY(AG$16,2)=7,AND(WEEKDAY(AG$16,2)=6,SUMPRODUCT(($B$9:$AG$10=IFERROR(VLOOKUP($B21,'On call stat'!$S$3:$T$20,2,FALSE),""))*($B$3:$AG$3=AG$16))&gt;0)),"DO",
IF(SUMPRODUCT(($B$9:$AG$10=IFERROR(VLOOKUP($B21,'On call stat'!$S$3:$T$20,2,FALSE),""))*($B$3:$AG$3=AG$16))&gt;0,"AL",
IF(WEEKDAY(AG$16,2)=6,
IF($B21="Chan, Man Wai","HD",
IF($B21="Ng Suet Ping, Yoko","HD",
IF($B21="Li Mui Ying","HD1",
IF($B21="Huang Huanrao, Yoyo",IF(MOD(AG$13,2)=1,"HD2",IFERROR(IF(SUMPRODUCT(($B$3:$AG$3=AG$16)*($B$5:$AG$7=VLOOKUP($B21,'On call stat'!$S$3:$T$10,2,FALSE)))&gt;0,"D","DO"),"DO")),
IF($B21="Lee Ka Po, Kathy",IF(MOD(AG$13,2)=0,"HD2",IFERROR(IF(SUMPRODUCT(($B$3:$AG$3=AG$16)*($B$5:$AG$7=VLOOKUP($B21,'On call stat'!$S$3:$T$10,2,FALSE)))&gt;0,"D","DO"),"DO")),
IF($B21="Fan Hoi Wan, Ivy",IF(MOD(AG$13,2)=0,"D",IFERROR(IF(SUMPRODUCT(($B$3:$AG$3=AG$16)*($B$5:$AG$7=VLOOKUP($B21,'On call stat'!$S$3:$T$10,2,FALSE)))&gt;0,"D","DO"),"DO")),
IFERROR(IF(SUMPRODUCT(($B$3:$AG$3=AG$16)*($B$5:$AG$7=VLOOKUP($B21,'On call stat'!$S$3:$T$10,2,FALSE)))&gt;0,"D","DO"),"DO"))))))),
IF($B21="Huang Huanrao, Yoyo",IF(MOD(AG$13,2)=1,"D1","B6"),
IF($B21="Lee Ka Po, Kathy",IF(MOD(AG$13,2)=0,"D1","B6"),
IFERROR(IF(SUMPRODUCT(($B$3:$AG$3=AG$16)*($B$5:$AG$7=VLOOKUP($B21,'On call stat'!$S$3:$T$10,2,FALSE)))&gt;0,"E","D"),"D"))))))))</f>
        <v>E</v>
      </c>
      <c r="AK21" s="11" t="s">
        <v>24</v>
      </c>
      <c r="AL21" s="65">
        <f t="shared" si="4"/>
        <v>184</v>
      </c>
      <c r="AM21" s="66" cm="1">
        <f t="array" ref="AM21">SUMPRODUCT((C21:AG21="AL") *  (COUNTIF(PH!$A:$A, C$16:AG$16)=0) *(WEEKDAY(C$16:AG$16,2)&lt;=5) *  8)+SUMPRODUCT((C21:AG21="HDAL") *  (COUNTIF(PH!$A:$A, C$16:AG$16)=0) *(WEEKDAY(C$16:AG$16,2)&lt;=6) *  4)</f>
        <v>0</v>
      </c>
      <c r="AN21" s="68">
        <f t="shared" si="5"/>
        <v>184</v>
      </c>
      <c r="AO21" s="67">
        <f>AN21-$AN$18+4</f>
        <v>0</v>
      </c>
      <c r="AP21" s="67">
        <f>AO21+Nov!AP21</f>
        <v>-4</v>
      </c>
    </row>
    <row r="22" spans="1:42" ht="37.5" customHeight="1" thickBot="1">
      <c r="A22" s="23" t="s">
        <v>57</v>
      </c>
      <c r="B22" s="22" t="s">
        <v>59</v>
      </c>
      <c r="C22" s="40" t="str">
        <f>IF(COUNTIF(PH!$A:$A,C$16)&gt;0,"PH",
IF(AND(SUMPRODUCT(($B$9:$AG$10=IFERROR(VLOOKUP($B22,'On call stat'!$S$3:$T$20,2,FALSE),""))*($B$3:$AG$3=C$16))&gt;0,OR(WEEKDAY(C$16,2)=6,),OR($B22="Chan, Man Wai",$B22="Ng Suet Ping, Yoko",$B22="Li Mui Ying",$B22="Lee Ka Po, Kathy",$B22="Huang Huanrao, Yoyo")),"HDAL",
IF(OR(WEEKDAY(C$16,2)=7,AND(WEEKDAY(C$16,2)=6,SUMPRODUCT(($B$9:$AG$10=IFERROR(VLOOKUP($B22,'On call stat'!$S$3:$T$20,2,FALSE),""))*($B$3:$AG$3=C$16))&gt;0)),"DO",
IF(SUMPRODUCT(($B$9:$AG$10=IFERROR(VLOOKUP($B22,'On call stat'!$S$3:$T$20,2,FALSE),""))*($B$3:$AG$3=C$16))&gt;0,"AL",
IF(WEEKDAY(C$16,2)=6,
IF($B22="Chan, Man Wai","HD",
IF($B22="Ng Suet Ping, Yoko","HD",
IF($B22="Li Mui Ying","HD1",
IF($B22="Huang Huanrao, Yoyo",IF(MOD(C$13,2)=1,"HD2",IFERROR(IF(SUMPRODUCT(($B$3:$AG$3=C$16)*($B$5:$AG$7=VLOOKUP($B22,'On call stat'!$S$3:$T$10,2,FALSE)))&gt;0,"D","DO"),"DO")),
IF($B22="Lee Ka Po, Kathy",IF(MOD(C$13,2)=0,"HD2",IFERROR(IF(SUMPRODUCT(($B$3:$AG$3=C$16)*($B$5:$AG$7=VLOOKUP($B22,'On call stat'!$S$3:$T$10,2,FALSE)))&gt;0,"D","DO"),"DO")),
IF($B22="Fan Hoi Wan, Ivy",IF(MOD(C$13,2)=0,"D",IFERROR(IF(SUMPRODUCT(($B$3:$AG$3=C$16)*($B$5:$AG$7=VLOOKUP($B22,'On call stat'!$S$3:$T$10,2,FALSE)))&gt;0,"D","DO"),"DO")),
IFERROR(IF(SUMPRODUCT(($B$3:$AG$3=C$16)*($B$5:$AG$7=VLOOKUP($B22,'On call stat'!$S$3:$T$10,2,FALSE)))&gt;0,"D","DO"),"DO"))))))),
IF($B22="Huang Huanrao, Yoyo",IF(MOD(C$13,2)=1,"D1","B6"),
IF($B22="Lee Ka Po, Kathy",IF(MOD(C$13,2)=0,"D1","B6"),
IFERROR(IF(SUMPRODUCT(($B$3:$AG$3=C$16)*($B$5:$AG$7=VLOOKUP($B22,'On call stat'!$S$3:$T$10,2,FALSE)))&gt;0,"E","D"),"D"))))))))</f>
        <v>E</v>
      </c>
      <c r="D22" s="40" t="str">
        <f>IF(COUNTIF(PH!$A:$A,D$16)&gt;0,"PH",
IF(AND(SUMPRODUCT(($B$9:$AG$10=IFERROR(VLOOKUP($B22,'On call stat'!$S$3:$T$20,2,FALSE),""))*($B$3:$AG$3=D$16))&gt;0,OR(WEEKDAY(D$16,2)=6,),OR($B22="Chan, Man Wai",$B22="Ng Suet Ping, Yoko",$B22="Li Mui Ying",$B22="Lee Ka Po, Kathy",$B22="Huang Huanrao, Yoyo")),"HDAL",
IF(OR(WEEKDAY(D$16,2)=7,AND(WEEKDAY(D$16,2)=6,SUMPRODUCT(($B$9:$AG$10=IFERROR(VLOOKUP($B22,'On call stat'!$S$3:$T$20,2,FALSE),""))*($B$3:$AG$3=D$16))&gt;0)),"DO",
IF(SUMPRODUCT(($B$9:$AG$10=IFERROR(VLOOKUP($B22,'On call stat'!$S$3:$T$20,2,FALSE),""))*($B$3:$AG$3=D$16))&gt;0,"AL",
IF(WEEKDAY(D$16,2)=6,
IF($B22="Chan, Man Wai","HD",
IF($B22="Ng Suet Ping, Yoko","HD",
IF($B22="Li Mui Ying","HD1",
IF($B22="Huang Huanrao, Yoyo",IF(MOD(D$13,2)=1,"HD2",IFERROR(IF(SUMPRODUCT(($B$3:$AG$3=D$16)*($B$5:$AG$7=VLOOKUP($B22,'On call stat'!$S$3:$T$10,2,FALSE)))&gt;0,"D","DO"),"DO")),
IF($B22="Lee Ka Po, Kathy",IF(MOD(D$13,2)=0,"HD2",IFERROR(IF(SUMPRODUCT(($B$3:$AG$3=D$16)*($B$5:$AG$7=VLOOKUP($B22,'On call stat'!$S$3:$T$10,2,FALSE)))&gt;0,"D","DO"),"DO")),
IF($B22="Fan Hoi Wan, Ivy",IF(MOD(D$13,2)=0,"D",IFERROR(IF(SUMPRODUCT(($B$3:$AG$3=D$16)*($B$5:$AG$7=VLOOKUP($B22,'On call stat'!$S$3:$T$10,2,FALSE)))&gt;0,"D","DO"),"DO")),
IFERROR(IF(SUMPRODUCT(($B$3:$AG$3=D$16)*($B$5:$AG$7=VLOOKUP($B22,'On call stat'!$S$3:$T$10,2,FALSE)))&gt;0,"D","DO"),"DO"))))))),
IF($B22="Huang Huanrao, Yoyo",IF(MOD(D$13,2)=1,"D1","B6"),
IF($B22="Lee Ka Po, Kathy",IF(MOD(D$13,2)=0,"D1","B6"),
IFERROR(IF(SUMPRODUCT(($B$3:$AG$3=D$16)*($B$5:$AG$7=VLOOKUP($B22,'On call stat'!$S$3:$T$10,2,FALSE)))&gt;0,"E","D"),"D"))))))))</f>
        <v>E</v>
      </c>
      <c r="E22" s="40" t="str">
        <f>IF(COUNTIF(PH!$A:$A,E$16)&gt;0,"PH",
IF(AND(SUMPRODUCT(($B$9:$AG$10=IFERROR(VLOOKUP($B22,'On call stat'!$S$3:$T$20,2,FALSE),""))*($B$3:$AG$3=E$16))&gt;0,OR(WEEKDAY(E$16,2)=6,),OR($B22="Chan, Man Wai",$B22="Ng Suet Ping, Yoko",$B22="Li Mui Ying",$B22="Lee Ka Po, Kathy",$B22="Huang Huanrao, Yoyo")),"HDAL",
IF(OR(WEEKDAY(E$16,2)=7,AND(WEEKDAY(E$16,2)=6,SUMPRODUCT(($B$9:$AG$10=IFERROR(VLOOKUP($B22,'On call stat'!$S$3:$T$20,2,FALSE),""))*($B$3:$AG$3=E$16))&gt;0)),"DO",
IF(SUMPRODUCT(($B$9:$AG$10=IFERROR(VLOOKUP($B22,'On call stat'!$S$3:$T$20,2,FALSE),""))*($B$3:$AG$3=E$16))&gt;0,"AL",
IF(WEEKDAY(E$16,2)=6,
IF($B22="Chan, Man Wai","HD",
IF($B22="Ng Suet Ping, Yoko","HD",
IF($B22="Li Mui Ying","HD1",
IF($B22="Huang Huanrao, Yoyo",IF(MOD(E$13,2)=1,"HD2",IFERROR(IF(SUMPRODUCT(($B$3:$AG$3=E$16)*($B$5:$AG$7=VLOOKUP($B22,'On call stat'!$S$3:$T$10,2,FALSE)))&gt;0,"D","DO"),"DO")),
IF($B22="Lee Ka Po, Kathy",IF(MOD(E$13,2)=0,"HD2",IFERROR(IF(SUMPRODUCT(($B$3:$AG$3=E$16)*($B$5:$AG$7=VLOOKUP($B22,'On call stat'!$S$3:$T$10,2,FALSE)))&gt;0,"D","DO"),"DO")),
IF($B22="Fan Hoi Wan, Ivy",IF(MOD(E$13,2)=0,"D",IFERROR(IF(SUMPRODUCT(($B$3:$AG$3=E$16)*($B$5:$AG$7=VLOOKUP($B22,'On call stat'!$S$3:$T$10,2,FALSE)))&gt;0,"D","DO"),"DO")),
IFERROR(IF(SUMPRODUCT(($B$3:$AG$3=E$16)*($B$5:$AG$7=VLOOKUP($B22,'On call stat'!$S$3:$T$10,2,FALSE)))&gt;0,"D","DO"),"DO"))))))),
IF($B22="Huang Huanrao, Yoyo",IF(MOD(E$13,2)=1,"D1","B6"),
IF($B22="Lee Ka Po, Kathy",IF(MOD(E$13,2)=0,"D1","B6"),
IFERROR(IF(SUMPRODUCT(($B$3:$AG$3=E$16)*($B$5:$AG$7=VLOOKUP($B22,'On call stat'!$S$3:$T$10,2,FALSE)))&gt;0,"E","D"),"D"))))))))</f>
        <v>E</v>
      </c>
      <c r="F22" s="40" t="str">
        <f>IF(COUNTIF(PH!$A:$A,F$16)&gt;0,"PH",
IF(AND(SUMPRODUCT(($B$9:$AG$10=IFERROR(VLOOKUP($B22,'On call stat'!$S$3:$T$20,2,FALSE),""))*($B$3:$AG$3=F$16))&gt;0,OR(WEEKDAY(F$16,2)=6,),OR($B22="Chan, Man Wai",$B22="Ng Suet Ping, Yoko",$B22="Li Mui Ying",$B22="Lee Ka Po, Kathy",$B22="Huang Huanrao, Yoyo")),"HDAL",
IF(OR(WEEKDAY(F$16,2)=7,AND(WEEKDAY(F$16,2)=6,SUMPRODUCT(($B$9:$AG$10=IFERROR(VLOOKUP($B22,'On call stat'!$S$3:$T$20,2,FALSE),""))*($B$3:$AG$3=F$16))&gt;0)),"DO",
IF(SUMPRODUCT(($B$9:$AG$10=IFERROR(VLOOKUP($B22,'On call stat'!$S$3:$T$20,2,FALSE),""))*($B$3:$AG$3=F$16))&gt;0,"AL",
IF(WEEKDAY(F$16,2)=6,
IF($B22="Chan, Man Wai","HD",
IF($B22="Ng Suet Ping, Yoko","HD",
IF($B22="Li Mui Ying","HD1",
IF($B22="Huang Huanrao, Yoyo",IF(MOD(F$13,2)=1,"HD2",IFERROR(IF(SUMPRODUCT(($B$3:$AG$3=F$16)*($B$5:$AG$7=VLOOKUP($B22,'On call stat'!$S$3:$T$10,2,FALSE)))&gt;0,"D","DO"),"DO")),
IF($B22="Lee Ka Po, Kathy",IF(MOD(F$13,2)=0,"HD2",IFERROR(IF(SUMPRODUCT(($B$3:$AG$3=F$16)*($B$5:$AG$7=VLOOKUP($B22,'On call stat'!$S$3:$T$10,2,FALSE)))&gt;0,"D","DO"),"DO")),
IF($B22="Fan Hoi Wan, Ivy",IF(MOD(F$13,2)=0,"D",IFERROR(IF(SUMPRODUCT(($B$3:$AG$3=F$16)*($B$5:$AG$7=VLOOKUP($B22,'On call stat'!$S$3:$T$10,2,FALSE)))&gt;0,"D","DO"),"DO")),
IFERROR(IF(SUMPRODUCT(($B$3:$AG$3=F$16)*($B$5:$AG$7=VLOOKUP($B22,'On call stat'!$S$3:$T$10,2,FALSE)))&gt;0,"D","DO"),"DO"))))))),
IF($B22="Huang Huanrao, Yoyo",IF(MOD(F$13,2)=1,"D1","B6"),
IF($B22="Lee Ka Po, Kathy",IF(MOD(F$13,2)=0,"D1","B6"),
IFERROR(IF(SUMPRODUCT(($B$3:$AG$3=F$16)*($B$5:$AG$7=VLOOKUP($B22,'On call stat'!$S$3:$T$10,2,FALSE)))&gt;0,"E","D"),"D"))))))))</f>
        <v>E</v>
      </c>
      <c r="G22" s="40" t="str">
        <f>IF(COUNTIF(PH!$A:$A,G$16)&gt;0,"PH",
IF(AND(SUMPRODUCT(($B$9:$AG$10=IFERROR(VLOOKUP($B22,'On call stat'!$S$3:$T$20,2,FALSE),""))*($B$3:$AG$3=G$16))&gt;0,OR(WEEKDAY(G$16,2)=6,),OR($B22="Chan, Man Wai",$B22="Ng Suet Ping, Yoko",$B22="Li Mui Ying",$B22="Lee Ka Po, Kathy",$B22="Huang Huanrao, Yoyo")),"HDAL",
IF(OR(WEEKDAY(G$16,2)=7,AND(WEEKDAY(G$16,2)=6,SUMPRODUCT(($B$9:$AG$10=IFERROR(VLOOKUP($B22,'On call stat'!$S$3:$T$20,2,FALSE),""))*($B$3:$AG$3=G$16))&gt;0)),"DO",
IF(SUMPRODUCT(($B$9:$AG$10=IFERROR(VLOOKUP($B22,'On call stat'!$S$3:$T$20,2,FALSE),""))*($B$3:$AG$3=G$16))&gt;0,"AL",
IF(WEEKDAY(G$16,2)=6,
IF($B22="Chan, Man Wai","HD",
IF($B22="Ng Suet Ping, Yoko","HD",
IF($B22="Li Mui Ying","HD1",
IF($B22="Huang Huanrao, Yoyo",IF(MOD(G$13,2)=1,"HD2",IFERROR(IF(SUMPRODUCT(($B$3:$AG$3=G$16)*($B$5:$AG$7=VLOOKUP($B22,'On call stat'!$S$3:$T$10,2,FALSE)))&gt;0,"D","DO"),"DO")),
IF($B22="Lee Ka Po, Kathy",IF(MOD(G$13,2)=0,"HD2",IFERROR(IF(SUMPRODUCT(($B$3:$AG$3=G$16)*($B$5:$AG$7=VLOOKUP($B22,'On call stat'!$S$3:$T$10,2,FALSE)))&gt;0,"D","DO"),"DO")),
IF($B22="Fan Hoi Wan, Ivy",IF(MOD(G$13,2)=0,"D",IFERROR(IF(SUMPRODUCT(($B$3:$AG$3=G$16)*($B$5:$AG$7=VLOOKUP($B22,'On call stat'!$S$3:$T$10,2,FALSE)))&gt;0,"D","DO"),"DO")),
IFERROR(IF(SUMPRODUCT(($B$3:$AG$3=G$16)*($B$5:$AG$7=VLOOKUP($B22,'On call stat'!$S$3:$T$10,2,FALSE)))&gt;0,"D","DO"),"DO"))))))),
IF($B22="Huang Huanrao, Yoyo",IF(MOD(G$13,2)=1,"D1","B6"),
IF($B22="Lee Ka Po, Kathy",IF(MOD(G$13,2)=0,"D1","B6"),
IFERROR(IF(SUMPRODUCT(($B$3:$AG$3=G$16)*($B$5:$AG$7=VLOOKUP($B22,'On call stat'!$S$3:$T$10,2,FALSE)))&gt;0,"E","D"),"D"))))))))</f>
        <v>D</v>
      </c>
      <c r="H22" s="40" t="str">
        <f>IF(COUNTIF(PH!$A:$A,H$16)&gt;0,"PH",
IF(AND(SUMPRODUCT(($B$9:$AG$10=IFERROR(VLOOKUP($B22,'On call stat'!$S$3:$T$20,2,FALSE),""))*($B$3:$AG$3=H$16))&gt;0,OR(WEEKDAY(H$16,2)=6,),OR($B22="Chan, Man Wai",$B22="Ng Suet Ping, Yoko",$B22="Li Mui Ying",$B22="Lee Ka Po, Kathy",$B22="Huang Huanrao, Yoyo")),"HDAL",
IF(OR(WEEKDAY(H$16,2)=7,AND(WEEKDAY(H$16,2)=6,SUMPRODUCT(($B$9:$AG$10=IFERROR(VLOOKUP($B22,'On call stat'!$S$3:$T$20,2,FALSE),""))*($B$3:$AG$3=H$16))&gt;0)),"DO",
IF(SUMPRODUCT(($B$9:$AG$10=IFERROR(VLOOKUP($B22,'On call stat'!$S$3:$T$20,2,FALSE),""))*($B$3:$AG$3=H$16))&gt;0,"AL",
IF(WEEKDAY(H$16,2)=6,
IF($B22="Chan, Man Wai","HD",
IF($B22="Ng Suet Ping, Yoko","HD",
IF($B22="Li Mui Ying","HD1",
IF($B22="Huang Huanrao, Yoyo",IF(MOD(H$13,2)=1,"HD2",IFERROR(IF(SUMPRODUCT(($B$3:$AG$3=H$16)*($B$5:$AG$7=VLOOKUP($B22,'On call stat'!$S$3:$T$10,2,FALSE)))&gt;0,"D","DO"),"DO")),
IF($B22="Lee Ka Po, Kathy",IF(MOD(H$13,2)=0,"HD2",IFERROR(IF(SUMPRODUCT(($B$3:$AG$3=H$16)*($B$5:$AG$7=VLOOKUP($B22,'On call stat'!$S$3:$T$10,2,FALSE)))&gt;0,"D","DO"),"DO")),
IF($B22="Fan Hoi Wan, Ivy",IF(MOD(H$13,2)=0,"D",IFERROR(IF(SUMPRODUCT(($B$3:$AG$3=H$16)*($B$5:$AG$7=VLOOKUP($B22,'On call stat'!$S$3:$T$10,2,FALSE)))&gt;0,"D","DO"),"DO")),
IFERROR(IF(SUMPRODUCT(($B$3:$AG$3=H$16)*($B$5:$AG$7=VLOOKUP($B22,'On call stat'!$S$3:$T$10,2,FALSE)))&gt;0,"D","DO"),"DO"))))))),
IF($B22="Huang Huanrao, Yoyo",IF(MOD(H$13,2)=1,"D1","B6"),
IF($B22="Lee Ka Po, Kathy",IF(MOD(H$13,2)=0,"D1","B6"),
IFERROR(IF(SUMPRODUCT(($B$3:$AG$3=H$16)*($B$5:$AG$7=VLOOKUP($B22,'On call stat'!$S$3:$T$10,2,FALSE)))&gt;0,"E","D"),"D"))))))))</f>
        <v>DO</v>
      </c>
      <c r="I22" s="40" t="str">
        <f>IF(COUNTIF(PH!$A:$A,I$16)&gt;0,"PH",
IF(AND(SUMPRODUCT(($B$9:$AG$10=IFERROR(VLOOKUP($B22,'On call stat'!$S$3:$T$20,2,FALSE),""))*($B$3:$AG$3=I$16))&gt;0,OR(WEEKDAY(I$16,2)=6,),OR($B22="Chan, Man Wai",$B22="Ng Suet Ping, Yoko",$B22="Li Mui Ying",$B22="Lee Ka Po, Kathy",$B22="Huang Huanrao, Yoyo")),"HDAL",
IF(OR(WEEKDAY(I$16,2)=7,AND(WEEKDAY(I$16,2)=6,SUMPRODUCT(($B$9:$AG$10=IFERROR(VLOOKUP($B22,'On call stat'!$S$3:$T$20,2,FALSE),""))*($B$3:$AG$3=I$16))&gt;0)),"DO",
IF(SUMPRODUCT(($B$9:$AG$10=IFERROR(VLOOKUP($B22,'On call stat'!$S$3:$T$20,2,FALSE),""))*($B$3:$AG$3=I$16))&gt;0,"AL",
IF(WEEKDAY(I$16,2)=6,
IF($B22="Chan, Man Wai","HD",
IF($B22="Ng Suet Ping, Yoko","HD",
IF($B22="Li Mui Ying","HD1",
IF($B22="Huang Huanrao, Yoyo",IF(MOD(I$13,2)=1,"HD2",IFERROR(IF(SUMPRODUCT(($B$3:$AG$3=I$16)*($B$5:$AG$7=VLOOKUP($B22,'On call stat'!$S$3:$T$10,2,FALSE)))&gt;0,"D","DO"),"DO")),
IF($B22="Lee Ka Po, Kathy",IF(MOD(I$13,2)=0,"HD2",IFERROR(IF(SUMPRODUCT(($B$3:$AG$3=I$16)*($B$5:$AG$7=VLOOKUP($B22,'On call stat'!$S$3:$T$10,2,FALSE)))&gt;0,"D","DO"),"DO")),
IF($B22="Fan Hoi Wan, Ivy",IF(MOD(I$13,2)=0,"D",IFERROR(IF(SUMPRODUCT(($B$3:$AG$3=I$16)*($B$5:$AG$7=VLOOKUP($B22,'On call stat'!$S$3:$T$10,2,FALSE)))&gt;0,"D","DO"),"DO")),
IFERROR(IF(SUMPRODUCT(($B$3:$AG$3=I$16)*($B$5:$AG$7=VLOOKUP($B22,'On call stat'!$S$3:$T$10,2,FALSE)))&gt;0,"D","DO"),"DO"))))))),
IF($B22="Huang Huanrao, Yoyo",IF(MOD(I$13,2)=1,"D1","B6"),
IF($B22="Lee Ka Po, Kathy",IF(MOD(I$13,2)=0,"D1","B6"),
IFERROR(IF(SUMPRODUCT(($B$3:$AG$3=I$16)*($B$5:$AG$7=VLOOKUP($B22,'On call stat'!$S$3:$T$10,2,FALSE)))&gt;0,"E","D"),"D"))))))))</f>
        <v>D</v>
      </c>
      <c r="J22" s="40" t="str">
        <f>IF(COUNTIF(PH!$A:$A,J$16)&gt;0,"PH",
IF(AND(SUMPRODUCT(($B$9:$AG$10=IFERROR(VLOOKUP($B22,'On call stat'!$S$3:$T$20,2,FALSE),""))*($B$3:$AG$3=J$16))&gt;0,OR(WEEKDAY(J$16,2)=6,),OR($B22="Chan, Man Wai",$B22="Ng Suet Ping, Yoko",$B22="Li Mui Ying",$B22="Lee Ka Po, Kathy",$B22="Huang Huanrao, Yoyo")),"HDAL",
IF(OR(WEEKDAY(J$16,2)=7,AND(WEEKDAY(J$16,2)=6,SUMPRODUCT(($B$9:$AG$10=IFERROR(VLOOKUP($B22,'On call stat'!$S$3:$T$20,2,FALSE),""))*($B$3:$AG$3=J$16))&gt;0)),"DO",
IF(SUMPRODUCT(($B$9:$AG$10=IFERROR(VLOOKUP($B22,'On call stat'!$S$3:$T$20,2,FALSE),""))*($B$3:$AG$3=J$16))&gt;0,"AL",
IF(WEEKDAY(J$16,2)=6,
IF($B22="Chan, Man Wai","HD",
IF($B22="Ng Suet Ping, Yoko","HD",
IF($B22="Li Mui Ying","HD1",
IF($B22="Huang Huanrao, Yoyo",IF(MOD(J$13,2)=1,"HD2",IFERROR(IF(SUMPRODUCT(($B$3:$AG$3=J$16)*($B$5:$AG$7=VLOOKUP($B22,'On call stat'!$S$3:$T$10,2,FALSE)))&gt;0,"D","DO"),"DO")),
IF($B22="Lee Ka Po, Kathy",IF(MOD(J$13,2)=0,"HD2",IFERROR(IF(SUMPRODUCT(($B$3:$AG$3=J$16)*($B$5:$AG$7=VLOOKUP($B22,'On call stat'!$S$3:$T$10,2,FALSE)))&gt;0,"D","DO"),"DO")),
IF($B22="Fan Hoi Wan, Ivy",IF(MOD(J$13,2)=0,"D",IFERROR(IF(SUMPRODUCT(($B$3:$AG$3=J$16)*($B$5:$AG$7=VLOOKUP($B22,'On call stat'!$S$3:$T$10,2,FALSE)))&gt;0,"D","DO"),"DO")),
IFERROR(IF(SUMPRODUCT(($B$3:$AG$3=J$16)*($B$5:$AG$7=VLOOKUP($B22,'On call stat'!$S$3:$T$10,2,FALSE)))&gt;0,"D","DO"),"DO"))))))),
IF($B22="Huang Huanrao, Yoyo",IF(MOD(J$13,2)=1,"D1","B6"),
IF($B22="Lee Ka Po, Kathy",IF(MOD(J$13,2)=0,"D1","B6"),
IFERROR(IF(SUMPRODUCT(($B$3:$AG$3=J$16)*($B$5:$AG$7=VLOOKUP($B22,'On call stat'!$S$3:$T$10,2,FALSE)))&gt;0,"E","D"),"D"))))))))</f>
        <v>D</v>
      </c>
      <c r="K22" s="40" t="str">
        <f>IF(COUNTIF(PH!$A:$A,K$16)&gt;0,"PH",
IF(AND(SUMPRODUCT(($B$9:$AG$10=IFERROR(VLOOKUP($B22,'On call stat'!$S$3:$T$20,2,FALSE),""))*($B$3:$AG$3=K$16))&gt;0,OR(WEEKDAY(K$16,2)=6,),OR($B22="Chan, Man Wai",$B22="Ng Suet Ping, Yoko",$B22="Li Mui Ying",$B22="Lee Ka Po, Kathy",$B22="Huang Huanrao, Yoyo")),"HDAL",
IF(OR(WEEKDAY(K$16,2)=7,AND(WEEKDAY(K$16,2)=6,SUMPRODUCT(($B$9:$AG$10=IFERROR(VLOOKUP($B22,'On call stat'!$S$3:$T$20,2,FALSE),""))*($B$3:$AG$3=K$16))&gt;0)),"DO",
IF(SUMPRODUCT(($B$9:$AG$10=IFERROR(VLOOKUP($B22,'On call stat'!$S$3:$T$20,2,FALSE),""))*($B$3:$AG$3=K$16))&gt;0,"AL",
IF(WEEKDAY(K$16,2)=6,
IF($B22="Chan, Man Wai","HD",
IF($B22="Ng Suet Ping, Yoko","HD",
IF($B22="Li Mui Ying","HD1",
IF($B22="Huang Huanrao, Yoyo",IF(MOD(K$13,2)=1,"HD2",IFERROR(IF(SUMPRODUCT(($B$3:$AG$3=K$16)*($B$5:$AG$7=VLOOKUP($B22,'On call stat'!$S$3:$T$10,2,FALSE)))&gt;0,"D","DO"),"DO")),
IF($B22="Lee Ka Po, Kathy",IF(MOD(K$13,2)=0,"HD2",IFERROR(IF(SUMPRODUCT(($B$3:$AG$3=K$16)*($B$5:$AG$7=VLOOKUP($B22,'On call stat'!$S$3:$T$10,2,FALSE)))&gt;0,"D","DO"),"DO")),
IF($B22="Fan Hoi Wan, Ivy",IF(MOD(K$13,2)=0,"D",IFERROR(IF(SUMPRODUCT(($B$3:$AG$3=K$16)*($B$5:$AG$7=VLOOKUP($B22,'On call stat'!$S$3:$T$10,2,FALSE)))&gt;0,"D","DO"),"DO")),
IFERROR(IF(SUMPRODUCT(($B$3:$AG$3=K$16)*($B$5:$AG$7=VLOOKUP($B22,'On call stat'!$S$3:$T$10,2,FALSE)))&gt;0,"D","DO"),"DO"))))))),
IF($B22="Huang Huanrao, Yoyo",IF(MOD(K$13,2)=1,"D1","B6"),
IF($B22="Lee Ka Po, Kathy",IF(MOD(K$13,2)=0,"D1","B6"),
IFERROR(IF(SUMPRODUCT(($B$3:$AG$3=K$16)*($B$5:$AG$7=VLOOKUP($B22,'On call stat'!$S$3:$T$10,2,FALSE)))&gt;0,"E","D"),"D"))))))))</f>
        <v>D</v>
      </c>
      <c r="L22" s="40" t="str">
        <f>IF(COUNTIF(PH!$A:$A,L$16)&gt;0,"PH",
IF(AND(SUMPRODUCT(($B$9:$AG$10=IFERROR(VLOOKUP($B22,'On call stat'!$S$3:$T$20,2,FALSE),""))*($B$3:$AG$3=L$16))&gt;0,OR(WEEKDAY(L$16,2)=6,),OR($B22="Chan, Man Wai",$B22="Ng Suet Ping, Yoko",$B22="Li Mui Ying",$B22="Lee Ka Po, Kathy",$B22="Huang Huanrao, Yoyo")),"HDAL",
IF(OR(WEEKDAY(L$16,2)=7,AND(WEEKDAY(L$16,2)=6,SUMPRODUCT(($B$9:$AG$10=IFERROR(VLOOKUP($B22,'On call stat'!$S$3:$T$20,2,FALSE),""))*($B$3:$AG$3=L$16))&gt;0)),"DO",
IF(SUMPRODUCT(($B$9:$AG$10=IFERROR(VLOOKUP($B22,'On call stat'!$S$3:$T$20,2,FALSE),""))*($B$3:$AG$3=L$16))&gt;0,"AL",
IF(WEEKDAY(L$16,2)=6,
IF($B22="Chan, Man Wai","HD",
IF($B22="Ng Suet Ping, Yoko","HD",
IF($B22="Li Mui Ying","HD1",
IF($B22="Huang Huanrao, Yoyo",IF(MOD(L$13,2)=1,"HD2",IFERROR(IF(SUMPRODUCT(($B$3:$AG$3=L$16)*($B$5:$AG$7=VLOOKUP($B22,'On call stat'!$S$3:$T$10,2,FALSE)))&gt;0,"D","DO"),"DO")),
IF($B22="Lee Ka Po, Kathy",IF(MOD(L$13,2)=0,"HD2",IFERROR(IF(SUMPRODUCT(($B$3:$AG$3=L$16)*($B$5:$AG$7=VLOOKUP($B22,'On call stat'!$S$3:$T$10,2,FALSE)))&gt;0,"D","DO"),"DO")),
IF($B22="Fan Hoi Wan, Ivy",IF(MOD(L$13,2)=0,"D",IFERROR(IF(SUMPRODUCT(($B$3:$AG$3=L$16)*($B$5:$AG$7=VLOOKUP($B22,'On call stat'!$S$3:$T$10,2,FALSE)))&gt;0,"D","DO"),"DO")),
IFERROR(IF(SUMPRODUCT(($B$3:$AG$3=L$16)*($B$5:$AG$7=VLOOKUP($B22,'On call stat'!$S$3:$T$10,2,FALSE)))&gt;0,"D","DO"),"DO"))))))),
IF($B22="Huang Huanrao, Yoyo",IF(MOD(L$13,2)=1,"D1","B6"),
IF($B22="Lee Ka Po, Kathy",IF(MOD(L$13,2)=0,"D1","B6"),
IFERROR(IF(SUMPRODUCT(($B$3:$AG$3=L$16)*($B$5:$AG$7=VLOOKUP($B22,'On call stat'!$S$3:$T$10,2,FALSE)))&gt;0,"E","D"),"D"))))))))</f>
        <v>D</v>
      </c>
      <c r="M22" s="40" t="str">
        <f>IF(COUNTIF(PH!$A:$A,M$16)&gt;0,"PH",
IF(AND(SUMPRODUCT(($B$9:$AG$10=IFERROR(VLOOKUP($B22,'On call stat'!$S$3:$T$20,2,FALSE),""))*($B$3:$AG$3=M$16))&gt;0,OR(WEEKDAY(M$16,2)=6,),OR($B22="Chan, Man Wai",$B22="Ng Suet Ping, Yoko",$B22="Li Mui Ying",$B22="Lee Ka Po, Kathy",$B22="Huang Huanrao, Yoyo")),"HDAL",
IF(OR(WEEKDAY(M$16,2)=7,AND(WEEKDAY(M$16,2)=6,SUMPRODUCT(($B$9:$AG$10=IFERROR(VLOOKUP($B22,'On call stat'!$S$3:$T$20,2,FALSE),""))*($B$3:$AG$3=M$16))&gt;0)),"DO",
IF(SUMPRODUCT(($B$9:$AG$10=IFERROR(VLOOKUP($B22,'On call stat'!$S$3:$T$20,2,FALSE),""))*($B$3:$AG$3=M$16))&gt;0,"AL",
IF(WEEKDAY(M$16,2)=6,
IF($B22="Chan, Man Wai","HD",
IF($B22="Ng Suet Ping, Yoko","HD",
IF($B22="Li Mui Ying","HD1",
IF($B22="Huang Huanrao, Yoyo",IF(MOD(M$13,2)=1,"HD2",IFERROR(IF(SUMPRODUCT(($B$3:$AG$3=M$16)*($B$5:$AG$7=VLOOKUP($B22,'On call stat'!$S$3:$T$10,2,FALSE)))&gt;0,"D","DO"),"DO")),
IF($B22="Lee Ka Po, Kathy",IF(MOD(M$13,2)=0,"HD2",IFERROR(IF(SUMPRODUCT(($B$3:$AG$3=M$16)*($B$5:$AG$7=VLOOKUP($B22,'On call stat'!$S$3:$T$10,2,FALSE)))&gt;0,"D","DO"),"DO")),
IF($B22="Fan Hoi Wan, Ivy",IF(MOD(M$13,2)=0,"D",IFERROR(IF(SUMPRODUCT(($B$3:$AG$3=M$16)*($B$5:$AG$7=VLOOKUP($B22,'On call stat'!$S$3:$T$10,2,FALSE)))&gt;0,"D","DO"),"DO")),
IFERROR(IF(SUMPRODUCT(($B$3:$AG$3=M$16)*($B$5:$AG$7=VLOOKUP($B22,'On call stat'!$S$3:$T$10,2,FALSE)))&gt;0,"D","DO"),"DO"))))))),
IF($B22="Huang Huanrao, Yoyo",IF(MOD(M$13,2)=1,"D1","B6"),
IF($B22="Lee Ka Po, Kathy",IF(MOD(M$13,2)=0,"D1","B6"),
IFERROR(IF(SUMPRODUCT(($B$3:$AG$3=M$16)*($B$5:$AG$7=VLOOKUP($B22,'On call stat'!$S$3:$T$10,2,FALSE)))&gt;0,"E","D"),"D"))))))))</f>
        <v>D</v>
      </c>
      <c r="N22" s="40" t="str">
        <f>IF(COUNTIF(PH!$A:$A,N$16)&gt;0,"PH",
IF(AND(SUMPRODUCT(($B$9:$AG$10=IFERROR(VLOOKUP($B22,'On call stat'!$S$3:$T$20,2,FALSE),""))*($B$3:$AG$3=N$16))&gt;0,OR(WEEKDAY(N$16,2)=6,),OR($B22="Chan, Man Wai",$B22="Ng Suet Ping, Yoko",$B22="Li Mui Ying",$B22="Lee Ka Po, Kathy",$B22="Huang Huanrao, Yoyo")),"HDAL",
IF(OR(WEEKDAY(N$16,2)=7,AND(WEEKDAY(N$16,2)=6,SUMPRODUCT(($B$9:$AG$10=IFERROR(VLOOKUP($B22,'On call stat'!$S$3:$T$20,2,FALSE),""))*($B$3:$AG$3=N$16))&gt;0)),"DO",
IF(SUMPRODUCT(($B$9:$AG$10=IFERROR(VLOOKUP($B22,'On call stat'!$S$3:$T$20,2,FALSE),""))*($B$3:$AG$3=N$16))&gt;0,"AL",
IF(WEEKDAY(N$16,2)=6,
IF($B22="Chan, Man Wai","HD",
IF($B22="Ng Suet Ping, Yoko","HD",
IF($B22="Li Mui Ying","HD1",
IF($B22="Huang Huanrao, Yoyo",IF(MOD(N$13,2)=1,"HD2",IFERROR(IF(SUMPRODUCT(($B$3:$AG$3=N$16)*($B$5:$AG$7=VLOOKUP($B22,'On call stat'!$S$3:$T$10,2,FALSE)))&gt;0,"D","DO"),"DO")),
IF($B22="Lee Ka Po, Kathy",IF(MOD(N$13,2)=0,"HD2",IFERROR(IF(SUMPRODUCT(($B$3:$AG$3=N$16)*($B$5:$AG$7=VLOOKUP($B22,'On call stat'!$S$3:$T$10,2,FALSE)))&gt;0,"D","DO"),"DO")),
IF($B22="Fan Hoi Wan, Ivy",IF(MOD(N$13,2)=0,"D",IFERROR(IF(SUMPRODUCT(($B$3:$AG$3=N$16)*($B$5:$AG$7=VLOOKUP($B22,'On call stat'!$S$3:$T$10,2,FALSE)))&gt;0,"D","DO"),"DO")),
IFERROR(IF(SUMPRODUCT(($B$3:$AG$3=N$16)*($B$5:$AG$7=VLOOKUP($B22,'On call stat'!$S$3:$T$10,2,FALSE)))&gt;0,"D","DO"),"DO"))))))),
IF($B22="Huang Huanrao, Yoyo",IF(MOD(N$13,2)=1,"D1","B6"),
IF($B22="Lee Ka Po, Kathy",IF(MOD(N$13,2)=0,"D1","B6"),
IFERROR(IF(SUMPRODUCT(($B$3:$AG$3=N$16)*($B$5:$AG$7=VLOOKUP($B22,'On call stat'!$S$3:$T$10,2,FALSE)))&gt;0,"E","D"),"D"))))))))</f>
        <v>DO</v>
      </c>
      <c r="O22" s="40" t="str">
        <f>IF(COUNTIF(PH!$A:$A,O$16)&gt;0,"PH",
IF(AND(SUMPRODUCT(($B$9:$AG$10=IFERROR(VLOOKUP($B22,'On call stat'!$S$3:$T$20,2,FALSE),""))*($B$3:$AG$3=O$16))&gt;0,OR(WEEKDAY(O$16,2)=6,),OR($B22="Chan, Man Wai",$B22="Ng Suet Ping, Yoko",$B22="Li Mui Ying",$B22="Lee Ka Po, Kathy",$B22="Huang Huanrao, Yoyo")),"HDAL",
IF(OR(WEEKDAY(O$16,2)=7,AND(WEEKDAY(O$16,2)=6,SUMPRODUCT(($B$9:$AG$10=IFERROR(VLOOKUP($B22,'On call stat'!$S$3:$T$20,2,FALSE),""))*($B$3:$AG$3=O$16))&gt;0)),"DO",
IF(SUMPRODUCT(($B$9:$AG$10=IFERROR(VLOOKUP($B22,'On call stat'!$S$3:$T$20,2,FALSE),""))*($B$3:$AG$3=O$16))&gt;0,"AL",
IF(WEEKDAY(O$16,2)=6,
IF($B22="Chan, Man Wai","HD",
IF($B22="Ng Suet Ping, Yoko","HD",
IF($B22="Li Mui Ying","HD1",
IF($B22="Huang Huanrao, Yoyo",IF(MOD(O$13,2)=1,"HD2",IFERROR(IF(SUMPRODUCT(($B$3:$AG$3=O$16)*($B$5:$AG$7=VLOOKUP($B22,'On call stat'!$S$3:$T$10,2,FALSE)))&gt;0,"D","DO"),"DO")),
IF($B22="Lee Ka Po, Kathy",IF(MOD(O$13,2)=0,"HD2",IFERROR(IF(SUMPRODUCT(($B$3:$AG$3=O$16)*($B$5:$AG$7=VLOOKUP($B22,'On call stat'!$S$3:$T$10,2,FALSE)))&gt;0,"D","DO"),"DO")),
IF($B22="Fan Hoi Wan, Ivy",IF(MOD(O$13,2)=0,"D",IFERROR(IF(SUMPRODUCT(($B$3:$AG$3=O$16)*($B$5:$AG$7=VLOOKUP($B22,'On call stat'!$S$3:$T$10,2,FALSE)))&gt;0,"D","DO"),"DO")),
IFERROR(IF(SUMPRODUCT(($B$3:$AG$3=O$16)*($B$5:$AG$7=VLOOKUP($B22,'On call stat'!$S$3:$T$10,2,FALSE)))&gt;0,"D","DO"),"DO"))))))),
IF($B22="Huang Huanrao, Yoyo",IF(MOD(O$13,2)=1,"D1","B6"),
IF($B22="Lee Ka Po, Kathy",IF(MOD(O$13,2)=0,"D1","B6"),
IFERROR(IF(SUMPRODUCT(($B$3:$AG$3=O$16)*($B$5:$AG$7=VLOOKUP($B22,'On call stat'!$S$3:$T$10,2,FALSE)))&gt;0,"E","D"),"D"))))))))</f>
        <v>DO</v>
      </c>
      <c r="P22" s="40" t="str">
        <f>IF(COUNTIF(PH!$A:$A,P$16)&gt;0,"PH",
IF(AND(SUMPRODUCT(($B$9:$AG$10=IFERROR(VLOOKUP($B22,'On call stat'!$S$3:$T$20,2,FALSE),""))*($B$3:$AG$3=P$16))&gt;0,OR(WEEKDAY(P$16,2)=6,),OR($B22="Chan, Man Wai",$B22="Ng Suet Ping, Yoko",$B22="Li Mui Ying",$B22="Lee Ka Po, Kathy",$B22="Huang Huanrao, Yoyo")),"HDAL",
IF(OR(WEEKDAY(P$16,2)=7,AND(WEEKDAY(P$16,2)=6,SUMPRODUCT(($B$9:$AG$10=IFERROR(VLOOKUP($B22,'On call stat'!$S$3:$T$20,2,FALSE),""))*($B$3:$AG$3=P$16))&gt;0)),"DO",
IF(SUMPRODUCT(($B$9:$AG$10=IFERROR(VLOOKUP($B22,'On call stat'!$S$3:$T$20,2,FALSE),""))*($B$3:$AG$3=P$16))&gt;0,"AL",
IF(WEEKDAY(P$16,2)=6,
IF($B22="Chan, Man Wai","HD",
IF($B22="Ng Suet Ping, Yoko","HD",
IF($B22="Li Mui Ying","HD1",
IF($B22="Huang Huanrao, Yoyo",IF(MOD(P$13,2)=1,"HD2",IFERROR(IF(SUMPRODUCT(($B$3:$AG$3=P$16)*($B$5:$AG$7=VLOOKUP($B22,'On call stat'!$S$3:$T$10,2,FALSE)))&gt;0,"D","DO"),"DO")),
IF($B22="Lee Ka Po, Kathy",IF(MOD(P$13,2)=0,"HD2",IFERROR(IF(SUMPRODUCT(($B$3:$AG$3=P$16)*($B$5:$AG$7=VLOOKUP($B22,'On call stat'!$S$3:$T$10,2,FALSE)))&gt;0,"D","DO"),"DO")),
IF($B22="Fan Hoi Wan, Ivy",IF(MOD(P$13,2)=0,"D",IFERROR(IF(SUMPRODUCT(($B$3:$AG$3=P$16)*($B$5:$AG$7=VLOOKUP($B22,'On call stat'!$S$3:$T$10,2,FALSE)))&gt;0,"D","DO"),"DO")),
IFERROR(IF(SUMPRODUCT(($B$3:$AG$3=P$16)*($B$5:$AG$7=VLOOKUP($B22,'On call stat'!$S$3:$T$10,2,FALSE)))&gt;0,"D","DO"),"DO"))))))),
IF($B22="Huang Huanrao, Yoyo",IF(MOD(P$13,2)=1,"D1","B6"),
IF($B22="Lee Ka Po, Kathy",IF(MOD(P$13,2)=0,"D1","B6"),
IFERROR(IF(SUMPRODUCT(($B$3:$AG$3=P$16)*($B$5:$AG$7=VLOOKUP($B22,'On call stat'!$S$3:$T$10,2,FALSE)))&gt;0,"E","D"),"D"))))))))</f>
        <v>E</v>
      </c>
      <c r="Q22" s="40" t="str">
        <f>IF(COUNTIF(PH!$A:$A,Q$16)&gt;0,"PH",
IF(AND(SUMPRODUCT(($B$9:$AG$10=IFERROR(VLOOKUP($B22,'On call stat'!$S$3:$T$20,2,FALSE),""))*($B$3:$AG$3=Q$16))&gt;0,OR(WEEKDAY(Q$16,2)=6,),OR($B22="Chan, Man Wai",$B22="Ng Suet Ping, Yoko",$B22="Li Mui Ying",$B22="Lee Ka Po, Kathy",$B22="Huang Huanrao, Yoyo")),"HDAL",
IF(OR(WEEKDAY(Q$16,2)=7,AND(WEEKDAY(Q$16,2)=6,SUMPRODUCT(($B$9:$AG$10=IFERROR(VLOOKUP($B22,'On call stat'!$S$3:$T$20,2,FALSE),""))*($B$3:$AG$3=Q$16))&gt;0)),"DO",
IF(SUMPRODUCT(($B$9:$AG$10=IFERROR(VLOOKUP($B22,'On call stat'!$S$3:$T$20,2,FALSE),""))*($B$3:$AG$3=Q$16))&gt;0,"AL",
IF(WEEKDAY(Q$16,2)=6,
IF($B22="Chan, Man Wai","HD",
IF($B22="Ng Suet Ping, Yoko","HD",
IF($B22="Li Mui Ying","HD1",
IF($B22="Huang Huanrao, Yoyo",IF(MOD(Q$13,2)=1,"HD2",IFERROR(IF(SUMPRODUCT(($B$3:$AG$3=Q$16)*($B$5:$AG$7=VLOOKUP($B22,'On call stat'!$S$3:$T$10,2,FALSE)))&gt;0,"D","DO"),"DO")),
IF($B22="Lee Ka Po, Kathy",IF(MOD(Q$13,2)=0,"HD2",IFERROR(IF(SUMPRODUCT(($B$3:$AG$3=Q$16)*($B$5:$AG$7=VLOOKUP($B22,'On call stat'!$S$3:$T$10,2,FALSE)))&gt;0,"D","DO"),"DO")),
IF($B22="Fan Hoi Wan, Ivy",IF(MOD(Q$13,2)=0,"D",IFERROR(IF(SUMPRODUCT(($B$3:$AG$3=Q$16)*($B$5:$AG$7=VLOOKUP($B22,'On call stat'!$S$3:$T$10,2,FALSE)))&gt;0,"D","DO"),"DO")),
IFERROR(IF(SUMPRODUCT(($B$3:$AG$3=Q$16)*($B$5:$AG$7=VLOOKUP($B22,'On call stat'!$S$3:$T$10,2,FALSE)))&gt;0,"D","DO"),"DO"))))))),
IF($B22="Huang Huanrao, Yoyo",IF(MOD(Q$13,2)=1,"D1","B6"),
IF($B22="Lee Ka Po, Kathy",IF(MOD(Q$13,2)=0,"D1","B6"),
IFERROR(IF(SUMPRODUCT(($B$3:$AG$3=Q$16)*($B$5:$AG$7=VLOOKUP($B22,'On call stat'!$S$3:$T$10,2,FALSE)))&gt;0,"E","D"),"D"))))))))</f>
        <v>E</v>
      </c>
      <c r="R22" s="40" t="str">
        <f>IF(COUNTIF(PH!$A:$A,R$16)&gt;0,"PH",
IF(AND(SUMPRODUCT(($B$9:$AG$10=IFERROR(VLOOKUP($B22,'On call stat'!$S$3:$T$20,2,FALSE),""))*($B$3:$AG$3=R$16))&gt;0,OR(WEEKDAY(R$16,2)=6,),OR($B22="Chan, Man Wai",$B22="Ng Suet Ping, Yoko",$B22="Li Mui Ying",$B22="Lee Ka Po, Kathy",$B22="Huang Huanrao, Yoyo")),"HDAL",
IF(OR(WEEKDAY(R$16,2)=7,AND(WEEKDAY(R$16,2)=6,SUMPRODUCT(($B$9:$AG$10=IFERROR(VLOOKUP($B22,'On call stat'!$S$3:$T$20,2,FALSE),""))*($B$3:$AG$3=R$16))&gt;0)),"DO",
IF(SUMPRODUCT(($B$9:$AG$10=IFERROR(VLOOKUP($B22,'On call stat'!$S$3:$T$20,2,FALSE),""))*($B$3:$AG$3=R$16))&gt;0,"AL",
IF(WEEKDAY(R$16,2)=6,
IF($B22="Chan, Man Wai","HD",
IF($B22="Ng Suet Ping, Yoko","HD",
IF($B22="Li Mui Ying","HD1",
IF($B22="Huang Huanrao, Yoyo",IF(MOD(R$13,2)=1,"HD2",IFERROR(IF(SUMPRODUCT(($B$3:$AG$3=R$16)*($B$5:$AG$7=VLOOKUP($B22,'On call stat'!$S$3:$T$10,2,FALSE)))&gt;0,"D","DO"),"DO")),
IF($B22="Lee Ka Po, Kathy",IF(MOD(R$13,2)=0,"HD2",IFERROR(IF(SUMPRODUCT(($B$3:$AG$3=R$16)*($B$5:$AG$7=VLOOKUP($B22,'On call stat'!$S$3:$T$10,2,FALSE)))&gt;0,"D","DO"),"DO")),
IF($B22="Fan Hoi Wan, Ivy",IF(MOD(R$13,2)=0,"D",IFERROR(IF(SUMPRODUCT(($B$3:$AG$3=R$16)*($B$5:$AG$7=VLOOKUP($B22,'On call stat'!$S$3:$T$10,2,FALSE)))&gt;0,"D","DO"),"DO")),
IFERROR(IF(SUMPRODUCT(($B$3:$AG$3=R$16)*($B$5:$AG$7=VLOOKUP($B22,'On call stat'!$S$3:$T$10,2,FALSE)))&gt;0,"D","DO"),"DO"))))))),
IF($B22="Huang Huanrao, Yoyo",IF(MOD(R$13,2)=1,"D1","B6"),
IF($B22="Lee Ka Po, Kathy",IF(MOD(R$13,2)=0,"D1","B6"),
IFERROR(IF(SUMPRODUCT(($B$3:$AG$3=R$16)*($B$5:$AG$7=VLOOKUP($B22,'On call stat'!$S$3:$T$10,2,FALSE)))&gt;0,"E","D"),"D"))))))))</f>
        <v>E</v>
      </c>
      <c r="S22" s="40" t="str">
        <f>IF(COUNTIF(PH!$A:$A,S$16)&gt;0,"PH",
IF(AND(SUMPRODUCT(($B$9:$AG$10=IFERROR(VLOOKUP($B22,'On call stat'!$S$3:$T$20,2,FALSE),""))*($B$3:$AG$3=S$16))&gt;0,OR(WEEKDAY(S$16,2)=6,),OR($B22="Chan, Man Wai",$B22="Ng Suet Ping, Yoko",$B22="Li Mui Ying",$B22="Lee Ka Po, Kathy",$B22="Huang Huanrao, Yoyo")),"HDAL",
IF(OR(WEEKDAY(S$16,2)=7,AND(WEEKDAY(S$16,2)=6,SUMPRODUCT(($B$9:$AG$10=IFERROR(VLOOKUP($B22,'On call stat'!$S$3:$T$20,2,FALSE),""))*($B$3:$AG$3=S$16))&gt;0)),"DO",
IF(SUMPRODUCT(($B$9:$AG$10=IFERROR(VLOOKUP($B22,'On call stat'!$S$3:$T$20,2,FALSE),""))*($B$3:$AG$3=S$16))&gt;0,"AL",
IF(WEEKDAY(S$16,2)=6,
IF($B22="Chan, Man Wai","HD",
IF($B22="Ng Suet Ping, Yoko","HD",
IF($B22="Li Mui Ying","HD1",
IF($B22="Huang Huanrao, Yoyo",IF(MOD(S$13,2)=1,"HD2",IFERROR(IF(SUMPRODUCT(($B$3:$AG$3=S$16)*($B$5:$AG$7=VLOOKUP($B22,'On call stat'!$S$3:$T$10,2,FALSE)))&gt;0,"D","DO"),"DO")),
IF($B22="Lee Ka Po, Kathy",IF(MOD(S$13,2)=0,"HD2",IFERROR(IF(SUMPRODUCT(($B$3:$AG$3=S$16)*($B$5:$AG$7=VLOOKUP($B22,'On call stat'!$S$3:$T$10,2,FALSE)))&gt;0,"D","DO"),"DO")),
IF($B22="Fan Hoi Wan, Ivy",IF(MOD(S$13,2)=0,"D",IFERROR(IF(SUMPRODUCT(($B$3:$AG$3=S$16)*($B$5:$AG$7=VLOOKUP($B22,'On call stat'!$S$3:$T$10,2,FALSE)))&gt;0,"D","DO"),"DO")),
IFERROR(IF(SUMPRODUCT(($B$3:$AG$3=S$16)*($B$5:$AG$7=VLOOKUP($B22,'On call stat'!$S$3:$T$10,2,FALSE)))&gt;0,"D","DO"),"DO"))))))),
IF($B22="Huang Huanrao, Yoyo",IF(MOD(S$13,2)=1,"D1","B6"),
IF($B22="Lee Ka Po, Kathy",IF(MOD(S$13,2)=0,"D1","B6"),
IFERROR(IF(SUMPRODUCT(($B$3:$AG$3=S$16)*($B$5:$AG$7=VLOOKUP($B22,'On call stat'!$S$3:$T$10,2,FALSE)))&gt;0,"E","D"),"D"))))))))</f>
        <v>E</v>
      </c>
      <c r="T22" s="40" t="str">
        <f>IF(COUNTIF(PH!$A:$A,T$16)&gt;0,"PH",
IF(AND(SUMPRODUCT(($B$9:$AG$10=IFERROR(VLOOKUP($B22,'On call stat'!$S$3:$T$20,2,FALSE),""))*($B$3:$AG$3=T$16))&gt;0,OR(WEEKDAY(T$16,2)=6,),OR($B22="Chan, Man Wai",$B22="Ng Suet Ping, Yoko",$B22="Li Mui Ying",$B22="Lee Ka Po, Kathy",$B22="Huang Huanrao, Yoyo")),"HDAL",
IF(OR(WEEKDAY(T$16,2)=7,AND(WEEKDAY(T$16,2)=6,SUMPRODUCT(($B$9:$AG$10=IFERROR(VLOOKUP($B22,'On call stat'!$S$3:$T$20,2,FALSE),""))*($B$3:$AG$3=T$16))&gt;0)),"DO",
IF(SUMPRODUCT(($B$9:$AG$10=IFERROR(VLOOKUP($B22,'On call stat'!$S$3:$T$20,2,FALSE),""))*($B$3:$AG$3=T$16))&gt;0,"AL",
IF(WEEKDAY(T$16,2)=6,
IF($B22="Chan, Man Wai","HD",
IF($B22="Ng Suet Ping, Yoko","HD",
IF($B22="Li Mui Ying","HD1",
IF($B22="Huang Huanrao, Yoyo",IF(MOD(T$13,2)=1,"HD2",IFERROR(IF(SUMPRODUCT(($B$3:$AG$3=T$16)*($B$5:$AG$7=VLOOKUP($B22,'On call stat'!$S$3:$T$10,2,FALSE)))&gt;0,"D","DO"),"DO")),
IF($B22="Lee Ka Po, Kathy",IF(MOD(T$13,2)=0,"HD2",IFERROR(IF(SUMPRODUCT(($B$3:$AG$3=T$16)*($B$5:$AG$7=VLOOKUP($B22,'On call stat'!$S$3:$T$10,2,FALSE)))&gt;0,"D","DO"),"DO")),
IF($B22="Fan Hoi Wan, Ivy",IF(MOD(T$13,2)=0,"D",IFERROR(IF(SUMPRODUCT(($B$3:$AG$3=T$16)*($B$5:$AG$7=VLOOKUP($B22,'On call stat'!$S$3:$T$10,2,FALSE)))&gt;0,"D","DO"),"DO")),
IFERROR(IF(SUMPRODUCT(($B$3:$AG$3=T$16)*($B$5:$AG$7=VLOOKUP($B22,'On call stat'!$S$3:$T$10,2,FALSE)))&gt;0,"D","DO"),"DO"))))))),
IF($B22="Huang Huanrao, Yoyo",IF(MOD(T$13,2)=1,"D1","B6"),
IF($B22="Lee Ka Po, Kathy",IF(MOD(T$13,2)=0,"D1","B6"),
IFERROR(IF(SUMPRODUCT(($B$3:$AG$3=T$16)*($B$5:$AG$7=VLOOKUP($B22,'On call stat'!$S$3:$T$10,2,FALSE)))&gt;0,"E","D"),"D"))))))))</f>
        <v>E</v>
      </c>
      <c r="U22" s="40" t="str">
        <f>IF(COUNTIF(PH!$A:$A,U$16)&gt;0,"PH",
IF(AND(SUMPRODUCT(($B$9:$AG$10=IFERROR(VLOOKUP($B22,'On call stat'!$S$3:$T$20,2,FALSE),""))*($B$3:$AG$3=U$16))&gt;0,OR(WEEKDAY(U$16,2)=6,),OR($B22="Chan, Man Wai",$B22="Ng Suet Ping, Yoko",$B22="Li Mui Ying",$B22="Lee Ka Po, Kathy",$B22="Huang Huanrao, Yoyo")),"HDAL",
IF(OR(WEEKDAY(U$16,2)=7,AND(WEEKDAY(U$16,2)=6,SUMPRODUCT(($B$9:$AG$10=IFERROR(VLOOKUP($B22,'On call stat'!$S$3:$T$20,2,FALSE),""))*($B$3:$AG$3=U$16))&gt;0)),"DO",
IF(SUMPRODUCT(($B$9:$AG$10=IFERROR(VLOOKUP($B22,'On call stat'!$S$3:$T$20,2,FALSE),""))*($B$3:$AG$3=U$16))&gt;0,"AL",
IF(WEEKDAY(U$16,2)=6,
IF($B22="Chan, Man Wai","HD",
IF($B22="Ng Suet Ping, Yoko","HD",
IF($B22="Li Mui Ying","HD1",
IF($B22="Huang Huanrao, Yoyo",IF(MOD(U$13,2)=1,"HD2",IFERROR(IF(SUMPRODUCT(($B$3:$AG$3=U$16)*($B$5:$AG$7=VLOOKUP($B22,'On call stat'!$S$3:$T$10,2,FALSE)))&gt;0,"D","DO"),"DO")),
IF($B22="Lee Ka Po, Kathy",IF(MOD(U$13,2)=0,"HD2",IFERROR(IF(SUMPRODUCT(($B$3:$AG$3=U$16)*($B$5:$AG$7=VLOOKUP($B22,'On call stat'!$S$3:$T$10,2,FALSE)))&gt;0,"D","DO"),"DO")),
IF($B22="Fan Hoi Wan, Ivy",IF(MOD(U$13,2)=0,"D",IFERROR(IF(SUMPRODUCT(($B$3:$AG$3=U$16)*($B$5:$AG$7=VLOOKUP($B22,'On call stat'!$S$3:$T$10,2,FALSE)))&gt;0,"D","DO"),"DO")),
IFERROR(IF(SUMPRODUCT(($B$3:$AG$3=U$16)*($B$5:$AG$7=VLOOKUP($B22,'On call stat'!$S$3:$T$10,2,FALSE)))&gt;0,"D","DO"),"DO"))))))),
IF($B22="Huang Huanrao, Yoyo",IF(MOD(U$13,2)=1,"D1","B6"),
IF($B22="Lee Ka Po, Kathy",IF(MOD(U$13,2)=0,"D1","B6"),
IFERROR(IF(SUMPRODUCT(($B$3:$AG$3=U$16)*($B$5:$AG$7=VLOOKUP($B22,'On call stat'!$S$3:$T$10,2,FALSE)))&gt;0,"E","D"),"D"))))))))</f>
        <v>D</v>
      </c>
      <c r="V22" s="40" t="str">
        <f>IF(COUNTIF(PH!$A:$A,V$16)&gt;0,"PH",
IF(AND(SUMPRODUCT(($B$9:$AG$10=IFERROR(VLOOKUP($B22,'On call stat'!$S$3:$T$20,2,FALSE),""))*($B$3:$AG$3=V$16))&gt;0,OR(WEEKDAY(V$16,2)=6,),OR($B22="Chan, Man Wai",$B22="Ng Suet Ping, Yoko",$B22="Li Mui Ying",$B22="Lee Ka Po, Kathy",$B22="Huang Huanrao, Yoyo")),"HDAL",
IF(OR(WEEKDAY(V$16,2)=7,AND(WEEKDAY(V$16,2)=6,SUMPRODUCT(($B$9:$AG$10=IFERROR(VLOOKUP($B22,'On call stat'!$S$3:$T$20,2,FALSE),""))*($B$3:$AG$3=V$16))&gt;0)),"DO",
IF(SUMPRODUCT(($B$9:$AG$10=IFERROR(VLOOKUP($B22,'On call stat'!$S$3:$T$20,2,FALSE),""))*($B$3:$AG$3=V$16))&gt;0,"AL",
IF(WEEKDAY(V$16,2)=6,
IF($B22="Chan, Man Wai","HD",
IF($B22="Ng Suet Ping, Yoko","HD",
IF($B22="Li Mui Ying","HD1",
IF($B22="Huang Huanrao, Yoyo",IF(MOD(V$13,2)=1,"HD2",IFERROR(IF(SUMPRODUCT(($B$3:$AG$3=V$16)*($B$5:$AG$7=VLOOKUP($B22,'On call stat'!$S$3:$T$10,2,FALSE)))&gt;0,"D","DO"),"DO")),
IF($B22="Lee Ka Po, Kathy",IF(MOD(V$13,2)=0,"HD2",IFERROR(IF(SUMPRODUCT(($B$3:$AG$3=V$16)*($B$5:$AG$7=VLOOKUP($B22,'On call stat'!$S$3:$T$10,2,FALSE)))&gt;0,"D","DO"),"DO")),
IF($B22="Fan Hoi Wan, Ivy",IF(MOD(V$13,2)=0,"D",IFERROR(IF(SUMPRODUCT(($B$3:$AG$3=V$16)*($B$5:$AG$7=VLOOKUP($B22,'On call stat'!$S$3:$T$10,2,FALSE)))&gt;0,"D","DO"),"DO")),
IFERROR(IF(SUMPRODUCT(($B$3:$AG$3=V$16)*($B$5:$AG$7=VLOOKUP($B22,'On call stat'!$S$3:$T$10,2,FALSE)))&gt;0,"D","DO"),"DO"))))))),
IF($B22="Huang Huanrao, Yoyo",IF(MOD(V$13,2)=1,"D1","B6"),
IF($B22="Lee Ka Po, Kathy",IF(MOD(V$13,2)=0,"D1","B6"),
IFERROR(IF(SUMPRODUCT(($B$3:$AG$3=V$16)*($B$5:$AG$7=VLOOKUP($B22,'On call stat'!$S$3:$T$10,2,FALSE)))&gt;0,"E","D"),"D"))))))))</f>
        <v>DO</v>
      </c>
      <c r="W22" s="40" t="str">
        <f>IF(COUNTIF(PH!$A:$A,W$16)&gt;0,"PH",
IF(AND(SUMPRODUCT(($B$9:$AG$10=IFERROR(VLOOKUP($B22,'On call stat'!$S$3:$T$20,2,FALSE),""))*($B$3:$AG$3=W$16))&gt;0,OR(WEEKDAY(W$16,2)=6,),OR($B22="Chan, Man Wai",$B22="Ng Suet Ping, Yoko",$B22="Li Mui Ying",$B22="Lee Ka Po, Kathy",$B22="Huang Huanrao, Yoyo")),"HDAL",
IF(OR(WEEKDAY(W$16,2)=7,AND(WEEKDAY(W$16,2)=6,SUMPRODUCT(($B$9:$AG$10=IFERROR(VLOOKUP($B22,'On call stat'!$S$3:$T$20,2,FALSE),""))*($B$3:$AG$3=W$16))&gt;0)),"DO",
IF(SUMPRODUCT(($B$9:$AG$10=IFERROR(VLOOKUP($B22,'On call stat'!$S$3:$T$20,2,FALSE),""))*($B$3:$AG$3=W$16))&gt;0,"AL",
IF(WEEKDAY(W$16,2)=6,
IF($B22="Chan, Man Wai","HD",
IF($B22="Ng Suet Ping, Yoko","HD",
IF($B22="Li Mui Ying","HD1",
IF($B22="Huang Huanrao, Yoyo",IF(MOD(W$13,2)=1,"HD2",IFERROR(IF(SUMPRODUCT(($B$3:$AG$3=W$16)*($B$5:$AG$7=VLOOKUP($B22,'On call stat'!$S$3:$T$10,2,FALSE)))&gt;0,"D","DO"),"DO")),
IF($B22="Lee Ka Po, Kathy",IF(MOD(W$13,2)=0,"HD2",IFERROR(IF(SUMPRODUCT(($B$3:$AG$3=W$16)*($B$5:$AG$7=VLOOKUP($B22,'On call stat'!$S$3:$T$10,2,FALSE)))&gt;0,"D","DO"),"DO")),
IF($B22="Fan Hoi Wan, Ivy",IF(MOD(W$13,2)=0,"D",IFERROR(IF(SUMPRODUCT(($B$3:$AG$3=W$16)*($B$5:$AG$7=VLOOKUP($B22,'On call stat'!$S$3:$T$10,2,FALSE)))&gt;0,"D","DO"),"DO")),
IFERROR(IF(SUMPRODUCT(($B$3:$AG$3=W$16)*($B$5:$AG$7=VLOOKUP($B22,'On call stat'!$S$3:$T$10,2,FALSE)))&gt;0,"D","DO"),"DO"))))))),
IF($B22="Huang Huanrao, Yoyo",IF(MOD(W$13,2)=1,"D1","B6"),
IF($B22="Lee Ka Po, Kathy",IF(MOD(W$13,2)=0,"D1","B6"),
IFERROR(IF(SUMPRODUCT(($B$3:$AG$3=W$16)*($B$5:$AG$7=VLOOKUP($B22,'On call stat'!$S$3:$T$10,2,FALSE)))&gt;0,"E","D"),"D"))))))))</f>
        <v>D</v>
      </c>
      <c r="X22" s="40" t="str">
        <f>IF(COUNTIF(PH!$A:$A,X$16)&gt;0,"PH",
IF(AND(SUMPRODUCT(($B$9:$AG$10=IFERROR(VLOOKUP($B22,'On call stat'!$S$3:$T$20,2,FALSE),""))*($B$3:$AG$3=X$16))&gt;0,OR(WEEKDAY(X$16,2)=6,),OR($B22="Chan, Man Wai",$B22="Ng Suet Ping, Yoko",$B22="Li Mui Ying",$B22="Lee Ka Po, Kathy",$B22="Huang Huanrao, Yoyo")),"HDAL",
IF(OR(WEEKDAY(X$16,2)=7,AND(WEEKDAY(X$16,2)=6,SUMPRODUCT(($B$9:$AG$10=IFERROR(VLOOKUP($B22,'On call stat'!$S$3:$T$20,2,FALSE),""))*($B$3:$AG$3=X$16))&gt;0)),"DO",
IF(SUMPRODUCT(($B$9:$AG$10=IFERROR(VLOOKUP($B22,'On call stat'!$S$3:$T$20,2,FALSE),""))*($B$3:$AG$3=X$16))&gt;0,"AL",
IF(WEEKDAY(X$16,2)=6,
IF($B22="Chan, Man Wai","HD",
IF($B22="Ng Suet Ping, Yoko","HD",
IF($B22="Li Mui Ying","HD1",
IF($B22="Huang Huanrao, Yoyo",IF(MOD(X$13,2)=1,"HD2",IFERROR(IF(SUMPRODUCT(($B$3:$AG$3=X$16)*($B$5:$AG$7=VLOOKUP($B22,'On call stat'!$S$3:$T$10,2,FALSE)))&gt;0,"D","DO"),"DO")),
IF($B22="Lee Ka Po, Kathy",IF(MOD(X$13,2)=0,"HD2",IFERROR(IF(SUMPRODUCT(($B$3:$AG$3=X$16)*($B$5:$AG$7=VLOOKUP($B22,'On call stat'!$S$3:$T$10,2,FALSE)))&gt;0,"D","DO"),"DO")),
IF($B22="Fan Hoi Wan, Ivy",IF(MOD(X$13,2)=0,"D",IFERROR(IF(SUMPRODUCT(($B$3:$AG$3=X$16)*($B$5:$AG$7=VLOOKUP($B22,'On call stat'!$S$3:$T$10,2,FALSE)))&gt;0,"D","DO"),"DO")),
IFERROR(IF(SUMPRODUCT(($B$3:$AG$3=X$16)*($B$5:$AG$7=VLOOKUP($B22,'On call stat'!$S$3:$T$10,2,FALSE)))&gt;0,"D","DO"),"DO"))))))),
IF($B22="Huang Huanrao, Yoyo",IF(MOD(X$13,2)=1,"D1","B6"),
IF($B22="Lee Ka Po, Kathy",IF(MOD(X$13,2)=0,"D1","B6"),
IFERROR(IF(SUMPRODUCT(($B$3:$AG$3=X$16)*($B$5:$AG$7=VLOOKUP($B22,'On call stat'!$S$3:$T$10,2,FALSE)))&gt;0,"E","D"),"D"))))))))</f>
        <v>D</v>
      </c>
      <c r="Y22" s="40" t="str">
        <f>IF(COUNTIF(PH!$A:$A,Y$16)&gt;0,"PH",
IF(AND(SUMPRODUCT(($B$9:$AG$10=IFERROR(VLOOKUP($B22,'On call stat'!$S$3:$T$20,2,FALSE),""))*($B$3:$AG$3=Y$16))&gt;0,OR(WEEKDAY(Y$16,2)=6,),OR($B22="Chan, Man Wai",$B22="Ng Suet Ping, Yoko",$B22="Li Mui Ying",$B22="Lee Ka Po, Kathy",$B22="Huang Huanrao, Yoyo")),"HDAL",
IF(OR(WEEKDAY(Y$16,2)=7,AND(WEEKDAY(Y$16,2)=6,SUMPRODUCT(($B$9:$AG$10=IFERROR(VLOOKUP($B22,'On call stat'!$S$3:$T$20,2,FALSE),""))*($B$3:$AG$3=Y$16))&gt;0)),"DO",
IF(SUMPRODUCT(($B$9:$AG$10=IFERROR(VLOOKUP($B22,'On call stat'!$S$3:$T$20,2,FALSE),""))*($B$3:$AG$3=Y$16))&gt;0,"AL",
IF(WEEKDAY(Y$16,2)=6,
IF($B22="Chan, Man Wai","HD",
IF($B22="Ng Suet Ping, Yoko","HD",
IF($B22="Li Mui Ying","HD1",
IF($B22="Huang Huanrao, Yoyo",IF(MOD(Y$13,2)=1,"HD2",IFERROR(IF(SUMPRODUCT(($B$3:$AG$3=Y$16)*($B$5:$AG$7=VLOOKUP($B22,'On call stat'!$S$3:$T$10,2,FALSE)))&gt;0,"D","DO"),"DO")),
IF($B22="Lee Ka Po, Kathy",IF(MOD(Y$13,2)=0,"HD2",IFERROR(IF(SUMPRODUCT(($B$3:$AG$3=Y$16)*($B$5:$AG$7=VLOOKUP($B22,'On call stat'!$S$3:$T$10,2,FALSE)))&gt;0,"D","DO"),"DO")),
IF($B22="Fan Hoi Wan, Ivy",IF(MOD(Y$13,2)=0,"D",IFERROR(IF(SUMPRODUCT(($B$3:$AG$3=Y$16)*($B$5:$AG$7=VLOOKUP($B22,'On call stat'!$S$3:$T$10,2,FALSE)))&gt;0,"D","DO"),"DO")),
IFERROR(IF(SUMPRODUCT(($B$3:$AG$3=Y$16)*($B$5:$AG$7=VLOOKUP($B22,'On call stat'!$S$3:$T$10,2,FALSE)))&gt;0,"D","DO"),"DO"))))))),
IF($B22="Huang Huanrao, Yoyo",IF(MOD(Y$13,2)=1,"D1","B6"),
IF($B22="Lee Ka Po, Kathy",IF(MOD(Y$13,2)=0,"D1","B6"),
IFERROR(IF(SUMPRODUCT(($B$3:$AG$3=Y$16)*($B$5:$AG$7=VLOOKUP($B22,'On call stat'!$S$3:$T$10,2,FALSE)))&gt;0,"E","D"),"D"))))))))</f>
        <v>D</v>
      </c>
      <c r="Z22" s="40" t="str">
        <f>IF(COUNTIF(PH!$A:$A,Z$16)&gt;0,"PH",
IF(AND(SUMPRODUCT(($B$9:$AG$10=IFERROR(VLOOKUP($B22,'On call stat'!$S$3:$T$20,2,FALSE),""))*($B$3:$AG$3=Z$16))&gt;0,OR(WEEKDAY(Z$16,2)=6,),OR($B22="Chan, Man Wai",$B22="Ng Suet Ping, Yoko",$B22="Li Mui Ying",$B22="Lee Ka Po, Kathy",$B22="Huang Huanrao, Yoyo")),"HDAL",
IF(OR(WEEKDAY(Z$16,2)=7,AND(WEEKDAY(Z$16,2)=6,SUMPRODUCT(($B$9:$AG$10=IFERROR(VLOOKUP($B22,'On call stat'!$S$3:$T$20,2,FALSE),""))*($B$3:$AG$3=Z$16))&gt;0)),"DO",
IF(SUMPRODUCT(($B$9:$AG$10=IFERROR(VLOOKUP($B22,'On call stat'!$S$3:$T$20,2,FALSE),""))*($B$3:$AG$3=Z$16))&gt;0,"AL",
IF(WEEKDAY(Z$16,2)=6,
IF($B22="Chan, Man Wai","HD",
IF($B22="Ng Suet Ping, Yoko","HD",
IF($B22="Li Mui Ying","HD1",
IF($B22="Huang Huanrao, Yoyo",IF(MOD(Z$13,2)=1,"HD2",IFERROR(IF(SUMPRODUCT(($B$3:$AG$3=Z$16)*($B$5:$AG$7=VLOOKUP($B22,'On call stat'!$S$3:$T$10,2,FALSE)))&gt;0,"D","DO"),"DO")),
IF($B22="Lee Ka Po, Kathy",IF(MOD(Z$13,2)=0,"HD2",IFERROR(IF(SUMPRODUCT(($B$3:$AG$3=Z$16)*($B$5:$AG$7=VLOOKUP($B22,'On call stat'!$S$3:$T$10,2,FALSE)))&gt;0,"D","DO"),"DO")),
IF($B22="Fan Hoi Wan, Ivy",IF(MOD(Z$13,2)=0,"D",IFERROR(IF(SUMPRODUCT(($B$3:$AG$3=Z$16)*($B$5:$AG$7=VLOOKUP($B22,'On call stat'!$S$3:$T$10,2,FALSE)))&gt;0,"D","DO"),"DO")),
IFERROR(IF(SUMPRODUCT(($B$3:$AG$3=Z$16)*($B$5:$AG$7=VLOOKUP($B22,'On call stat'!$S$3:$T$10,2,FALSE)))&gt;0,"D","DO"),"DO"))))))),
IF($B22="Huang Huanrao, Yoyo",IF(MOD(Z$13,2)=1,"D1","B6"),
IF($B22="Lee Ka Po, Kathy",IF(MOD(Z$13,2)=0,"D1","B6"),
IFERROR(IF(SUMPRODUCT(($B$3:$AG$3=Z$16)*($B$5:$AG$7=VLOOKUP($B22,'On call stat'!$S$3:$T$10,2,FALSE)))&gt;0,"E","D"),"D"))))))))</f>
        <v>D</v>
      </c>
      <c r="AA22" s="40" t="str">
        <f>IF(COUNTIF(PH!$A:$A,AA$16)&gt;0,"PH",
IF(AND(SUMPRODUCT(($B$9:$AG$10=IFERROR(VLOOKUP($B22,'On call stat'!$S$3:$T$20,2,FALSE),""))*($B$3:$AG$3=AA$16))&gt;0,OR(WEEKDAY(AA$16,2)=6,),OR($B22="Chan, Man Wai",$B22="Ng Suet Ping, Yoko",$B22="Li Mui Ying",$B22="Lee Ka Po, Kathy",$B22="Huang Huanrao, Yoyo")),"HDAL",
IF(OR(WEEKDAY(AA$16,2)=7,AND(WEEKDAY(AA$16,2)=6,SUMPRODUCT(($B$9:$AG$10=IFERROR(VLOOKUP($B22,'On call stat'!$S$3:$T$20,2,FALSE),""))*($B$3:$AG$3=AA$16))&gt;0)),"DO",
IF(SUMPRODUCT(($B$9:$AG$10=IFERROR(VLOOKUP($B22,'On call stat'!$S$3:$T$20,2,FALSE),""))*($B$3:$AG$3=AA$16))&gt;0,"AL",
IF(WEEKDAY(AA$16,2)=6,
IF($B22="Chan, Man Wai","HD",
IF($B22="Ng Suet Ping, Yoko","HD",
IF($B22="Li Mui Ying","HD1",
IF($B22="Huang Huanrao, Yoyo",IF(MOD(AA$13,2)=1,"HD2",IFERROR(IF(SUMPRODUCT(($B$3:$AG$3=AA$16)*($B$5:$AG$7=VLOOKUP($B22,'On call stat'!$S$3:$T$10,2,FALSE)))&gt;0,"D","DO"),"DO")),
IF($B22="Lee Ka Po, Kathy",IF(MOD(AA$13,2)=0,"HD2",IFERROR(IF(SUMPRODUCT(($B$3:$AG$3=AA$16)*($B$5:$AG$7=VLOOKUP($B22,'On call stat'!$S$3:$T$10,2,FALSE)))&gt;0,"D","DO"),"DO")),
IF($B22="Fan Hoi Wan, Ivy",IF(MOD(AA$13,2)=0,"D",IFERROR(IF(SUMPRODUCT(($B$3:$AG$3=AA$16)*($B$5:$AG$7=VLOOKUP($B22,'On call stat'!$S$3:$T$10,2,FALSE)))&gt;0,"D","DO"),"DO")),
IFERROR(IF(SUMPRODUCT(($B$3:$AG$3=AA$16)*($B$5:$AG$7=VLOOKUP($B22,'On call stat'!$S$3:$T$10,2,FALSE)))&gt;0,"D","DO"),"DO"))))))),
IF($B22="Huang Huanrao, Yoyo",IF(MOD(AA$13,2)=1,"D1","B6"),
IF($B22="Lee Ka Po, Kathy",IF(MOD(AA$13,2)=0,"D1","B6"),
IFERROR(IF(SUMPRODUCT(($B$3:$AG$3=AA$16)*($B$5:$AG$7=VLOOKUP($B22,'On call stat'!$S$3:$T$10,2,FALSE)))&gt;0,"E","D"),"D"))))))))</f>
        <v>PH</v>
      </c>
      <c r="AB22" s="40" t="str">
        <f>IF(COUNTIF(PH!$A:$A,AB$16)&gt;0,"PH",
IF(AND(SUMPRODUCT(($B$9:$AG$10=IFERROR(VLOOKUP($B22,'On call stat'!$S$3:$T$20,2,FALSE),""))*($B$3:$AG$3=AB$16))&gt;0,OR(WEEKDAY(AB$16,2)=6,),OR($B22="Chan, Man Wai",$B22="Ng Suet Ping, Yoko",$B22="Li Mui Ying",$B22="Lee Ka Po, Kathy",$B22="Huang Huanrao, Yoyo")),"HDAL",
IF(OR(WEEKDAY(AB$16,2)=7,AND(WEEKDAY(AB$16,2)=6,SUMPRODUCT(($B$9:$AG$10=IFERROR(VLOOKUP($B22,'On call stat'!$S$3:$T$20,2,FALSE),""))*($B$3:$AG$3=AB$16))&gt;0)),"DO",
IF(SUMPRODUCT(($B$9:$AG$10=IFERROR(VLOOKUP($B22,'On call stat'!$S$3:$T$20,2,FALSE),""))*($B$3:$AG$3=AB$16))&gt;0,"AL",
IF(WEEKDAY(AB$16,2)=6,
IF($B22="Chan, Man Wai","HD",
IF($B22="Ng Suet Ping, Yoko","HD",
IF($B22="Li Mui Ying","HD1",
IF($B22="Huang Huanrao, Yoyo",IF(MOD(AB$13,2)=1,"HD2",IFERROR(IF(SUMPRODUCT(($B$3:$AG$3=AB$16)*($B$5:$AG$7=VLOOKUP($B22,'On call stat'!$S$3:$T$10,2,FALSE)))&gt;0,"D","DO"),"DO")),
IF($B22="Lee Ka Po, Kathy",IF(MOD(AB$13,2)=0,"HD2",IFERROR(IF(SUMPRODUCT(($B$3:$AG$3=AB$16)*($B$5:$AG$7=VLOOKUP($B22,'On call stat'!$S$3:$T$10,2,FALSE)))&gt;0,"D","DO"),"DO")),
IF($B22="Fan Hoi Wan, Ivy",IF(MOD(AB$13,2)=0,"D",IFERROR(IF(SUMPRODUCT(($B$3:$AG$3=AB$16)*($B$5:$AG$7=VLOOKUP($B22,'On call stat'!$S$3:$T$10,2,FALSE)))&gt;0,"D","DO"),"DO")),
IFERROR(IF(SUMPRODUCT(($B$3:$AG$3=AB$16)*($B$5:$AG$7=VLOOKUP($B22,'On call stat'!$S$3:$T$10,2,FALSE)))&gt;0,"D","DO"),"DO"))))))),
IF($B22="Huang Huanrao, Yoyo",IF(MOD(AB$13,2)=1,"D1","B6"),
IF($B22="Lee Ka Po, Kathy",IF(MOD(AB$13,2)=0,"D1","B6"),
IFERROR(IF(SUMPRODUCT(($B$3:$AG$3=AB$16)*($B$5:$AG$7=VLOOKUP($B22,'On call stat'!$S$3:$T$10,2,FALSE)))&gt;0,"E","D"),"D"))))))))</f>
        <v>PH</v>
      </c>
      <c r="AC22" s="40" t="str">
        <f>IF(COUNTIF(PH!$A:$A,AC$16)&gt;0,"PH",
IF(AND(SUMPRODUCT(($B$9:$AG$10=IFERROR(VLOOKUP($B22,'On call stat'!$S$3:$T$20,2,FALSE),""))*($B$3:$AG$3=AC$16))&gt;0,OR(WEEKDAY(AC$16,2)=6,),OR($B22="Chan, Man Wai",$B22="Ng Suet Ping, Yoko",$B22="Li Mui Ying",$B22="Lee Ka Po, Kathy",$B22="Huang Huanrao, Yoyo")),"HDAL",
IF(OR(WEEKDAY(AC$16,2)=7,AND(WEEKDAY(AC$16,2)=6,SUMPRODUCT(($B$9:$AG$10=IFERROR(VLOOKUP($B22,'On call stat'!$S$3:$T$20,2,FALSE),""))*($B$3:$AG$3=AC$16))&gt;0)),"DO",
IF(SUMPRODUCT(($B$9:$AG$10=IFERROR(VLOOKUP($B22,'On call stat'!$S$3:$T$20,2,FALSE),""))*($B$3:$AG$3=AC$16))&gt;0,"AL",
IF(WEEKDAY(AC$16,2)=6,
IF($B22="Chan, Man Wai","HD",
IF($B22="Ng Suet Ping, Yoko","HD",
IF($B22="Li Mui Ying","HD1",
IF($B22="Huang Huanrao, Yoyo",IF(MOD(AC$13,2)=1,"HD2",IFERROR(IF(SUMPRODUCT(($B$3:$AG$3=AC$16)*($B$5:$AG$7=VLOOKUP($B22,'On call stat'!$S$3:$T$10,2,FALSE)))&gt;0,"D","DO"),"DO")),
IF($B22="Lee Ka Po, Kathy",IF(MOD(AC$13,2)=0,"HD2",IFERROR(IF(SUMPRODUCT(($B$3:$AG$3=AC$16)*($B$5:$AG$7=VLOOKUP($B22,'On call stat'!$S$3:$T$10,2,FALSE)))&gt;0,"D","DO"),"DO")),
IF($B22="Fan Hoi Wan, Ivy",IF(MOD(AC$13,2)=0,"D",IFERROR(IF(SUMPRODUCT(($B$3:$AG$3=AC$16)*($B$5:$AG$7=VLOOKUP($B22,'On call stat'!$S$3:$T$10,2,FALSE)))&gt;0,"D","DO"),"DO")),
IFERROR(IF(SUMPRODUCT(($B$3:$AG$3=AC$16)*($B$5:$AG$7=VLOOKUP($B22,'On call stat'!$S$3:$T$10,2,FALSE)))&gt;0,"D","DO"),"DO"))))))),
IF($B22="Huang Huanrao, Yoyo",IF(MOD(AC$13,2)=1,"D1","B6"),
IF($B22="Lee Ka Po, Kathy",IF(MOD(AC$13,2)=0,"D1","B6"),
IFERROR(IF(SUMPRODUCT(($B$3:$AG$3=AC$16)*($B$5:$AG$7=VLOOKUP($B22,'On call stat'!$S$3:$T$10,2,FALSE)))&gt;0,"E","D"),"D"))))))))</f>
        <v>DO</v>
      </c>
      <c r="AD22" s="40" t="str">
        <f>IF(COUNTIF(PH!$A:$A,AD$16)&gt;0,"PH",
IF(AND(SUMPRODUCT(($B$9:$AG$10=IFERROR(VLOOKUP($B22,'On call stat'!$S$3:$T$20,2,FALSE),""))*($B$3:$AG$3=AD$16))&gt;0,OR(WEEKDAY(AD$16,2)=6,),OR($B22="Chan, Man Wai",$B22="Ng Suet Ping, Yoko",$B22="Li Mui Ying",$B22="Lee Ka Po, Kathy",$B22="Huang Huanrao, Yoyo")),"HDAL",
IF(OR(WEEKDAY(AD$16,2)=7,AND(WEEKDAY(AD$16,2)=6,SUMPRODUCT(($B$9:$AG$10=IFERROR(VLOOKUP($B22,'On call stat'!$S$3:$T$20,2,FALSE),""))*($B$3:$AG$3=AD$16))&gt;0)),"DO",
IF(SUMPRODUCT(($B$9:$AG$10=IFERROR(VLOOKUP($B22,'On call stat'!$S$3:$T$20,2,FALSE),""))*($B$3:$AG$3=AD$16))&gt;0,"AL",
IF(WEEKDAY(AD$16,2)=6,
IF($B22="Chan, Man Wai","HD",
IF($B22="Ng Suet Ping, Yoko","HD",
IF($B22="Li Mui Ying","HD1",
IF($B22="Huang Huanrao, Yoyo",IF(MOD(AD$13,2)=1,"HD2",IFERROR(IF(SUMPRODUCT(($B$3:$AG$3=AD$16)*($B$5:$AG$7=VLOOKUP($B22,'On call stat'!$S$3:$T$10,2,FALSE)))&gt;0,"D","DO"),"DO")),
IF($B22="Lee Ka Po, Kathy",IF(MOD(AD$13,2)=0,"HD2",IFERROR(IF(SUMPRODUCT(($B$3:$AG$3=AD$16)*($B$5:$AG$7=VLOOKUP($B22,'On call stat'!$S$3:$T$10,2,FALSE)))&gt;0,"D","DO"),"DO")),
IF($B22="Fan Hoi Wan, Ivy",IF(MOD(AD$13,2)=0,"D",IFERROR(IF(SUMPRODUCT(($B$3:$AG$3=AD$16)*($B$5:$AG$7=VLOOKUP($B22,'On call stat'!$S$3:$T$10,2,FALSE)))&gt;0,"D","DO"),"DO")),
IFERROR(IF(SUMPRODUCT(($B$3:$AG$3=AD$16)*($B$5:$AG$7=VLOOKUP($B22,'On call stat'!$S$3:$T$10,2,FALSE)))&gt;0,"D","DO"),"DO"))))))),
IF($B22="Huang Huanrao, Yoyo",IF(MOD(AD$13,2)=1,"D1","B6"),
IF($B22="Lee Ka Po, Kathy",IF(MOD(AD$13,2)=0,"D1","B6"),
IFERROR(IF(SUMPRODUCT(($B$3:$AG$3=AD$16)*($B$5:$AG$7=VLOOKUP($B22,'On call stat'!$S$3:$T$10,2,FALSE)))&gt;0,"E","D"),"D"))))))))</f>
        <v>E</v>
      </c>
      <c r="AE22" s="40" t="str">
        <f>IF(COUNTIF(PH!$A:$A,AE$16)&gt;0,"PH",
IF(AND(SUMPRODUCT(($B$9:$AG$10=IFERROR(VLOOKUP($B22,'On call stat'!$S$3:$T$20,2,FALSE),""))*($B$3:$AG$3=AE$16))&gt;0,OR(WEEKDAY(AE$16,2)=6,),OR($B22="Chan, Man Wai",$B22="Ng Suet Ping, Yoko",$B22="Li Mui Ying",$B22="Lee Ka Po, Kathy",$B22="Huang Huanrao, Yoyo")),"HDAL",
IF(OR(WEEKDAY(AE$16,2)=7,AND(WEEKDAY(AE$16,2)=6,SUMPRODUCT(($B$9:$AG$10=IFERROR(VLOOKUP($B22,'On call stat'!$S$3:$T$20,2,FALSE),""))*($B$3:$AG$3=AE$16))&gt;0)),"DO",
IF(SUMPRODUCT(($B$9:$AG$10=IFERROR(VLOOKUP($B22,'On call stat'!$S$3:$T$20,2,FALSE),""))*($B$3:$AG$3=AE$16))&gt;0,"AL",
IF(WEEKDAY(AE$16,2)=6,
IF($B22="Chan, Man Wai","HD",
IF($B22="Ng Suet Ping, Yoko","HD",
IF($B22="Li Mui Ying","HD1",
IF($B22="Huang Huanrao, Yoyo",IF(MOD(AE$13,2)=1,"HD2",IFERROR(IF(SUMPRODUCT(($B$3:$AG$3=AE$16)*($B$5:$AG$7=VLOOKUP($B22,'On call stat'!$S$3:$T$10,2,FALSE)))&gt;0,"D","DO"),"DO")),
IF($B22="Lee Ka Po, Kathy",IF(MOD(AE$13,2)=0,"HD2",IFERROR(IF(SUMPRODUCT(($B$3:$AG$3=AE$16)*($B$5:$AG$7=VLOOKUP($B22,'On call stat'!$S$3:$T$10,2,FALSE)))&gt;0,"D","DO"),"DO")),
IF($B22="Fan Hoi Wan, Ivy",IF(MOD(AE$13,2)=0,"D",IFERROR(IF(SUMPRODUCT(($B$3:$AG$3=AE$16)*($B$5:$AG$7=VLOOKUP($B22,'On call stat'!$S$3:$T$10,2,FALSE)))&gt;0,"D","DO"),"DO")),
IFERROR(IF(SUMPRODUCT(($B$3:$AG$3=AE$16)*($B$5:$AG$7=VLOOKUP($B22,'On call stat'!$S$3:$T$10,2,FALSE)))&gt;0,"D","DO"),"DO"))))))),
IF($B22="Huang Huanrao, Yoyo",IF(MOD(AE$13,2)=1,"D1","B6"),
IF($B22="Lee Ka Po, Kathy",IF(MOD(AE$13,2)=0,"D1","B6"),
IFERROR(IF(SUMPRODUCT(($B$3:$AG$3=AE$16)*($B$5:$AG$7=VLOOKUP($B22,'On call stat'!$S$3:$T$10,2,FALSE)))&gt;0,"E","D"),"D"))))))))</f>
        <v>E</v>
      </c>
      <c r="AF22" s="40" t="str">
        <f>IF(COUNTIF(PH!$A:$A,AF$16)&gt;0,"PH",
IF(AND(SUMPRODUCT(($B$9:$AG$10=IFERROR(VLOOKUP($B22,'On call stat'!$S$3:$T$20,2,FALSE),""))*($B$3:$AG$3=AF$16))&gt;0,OR(WEEKDAY(AF$16,2)=6,),OR($B22="Chan, Man Wai",$B22="Ng Suet Ping, Yoko",$B22="Li Mui Ying",$B22="Lee Ka Po, Kathy",$B22="Huang Huanrao, Yoyo")),"HDAL",
IF(OR(WEEKDAY(AF$16,2)=7,AND(WEEKDAY(AF$16,2)=6,SUMPRODUCT(($B$9:$AG$10=IFERROR(VLOOKUP($B22,'On call stat'!$S$3:$T$20,2,FALSE),""))*($B$3:$AG$3=AF$16))&gt;0)),"DO",
IF(SUMPRODUCT(($B$9:$AG$10=IFERROR(VLOOKUP($B22,'On call stat'!$S$3:$T$20,2,FALSE),""))*($B$3:$AG$3=AF$16))&gt;0,"AL",
IF(WEEKDAY(AF$16,2)=6,
IF($B22="Chan, Man Wai","HD",
IF($B22="Ng Suet Ping, Yoko","HD",
IF($B22="Li Mui Ying","HD1",
IF($B22="Huang Huanrao, Yoyo",IF(MOD(AF$13,2)=1,"HD2",IFERROR(IF(SUMPRODUCT(($B$3:$AG$3=AF$16)*($B$5:$AG$7=VLOOKUP($B22,'On call stat'!$S$3:$T$10,2,FALSE)))&gt;0,"D","DO"),"DO")),
IF($B22="Lee Ka Po, Kathy",IF(MOD(AF$13,2)=0,"HD2",IFERROR(IF(SUMPRODUCT(($B$3:$AG$3=AF$16)*($B$5:$AG$7=VLOOKUP($B22,'On call stat'!$S$3:$T$10,2,FALSE)))&gt;0,"D","DO"),"DO")),
IF($B22="Fan Hoi Wan, Ivy",IF(MOD(AF$13,2)=0,"D",IFERROR(IF(SUMPRODUCT(($B$3:$AG$3=AF$16)*($B$5:$AG$7=VLOOKUP($B22,'On call stat'!$S$3:$T$10,2,FALSE)))&gt;0,"D","DO"),"DO")),
IFERROR(IF(SUMPRODUCT(($B$3:$AG$3=AF$16)*($B$5:$AG$7=VLOOKUP($B22,'On call stat'!$S$3:$T$10,2,FALSE)))&gt;0,"D","DO"),"DO"))))))),
IF($B22="Huang Huanrao, Yoyo",IF(MOD(AF$13,2)=1,"D1","B6"),
IF($B22="Lee Ka Po, Kathy",IF(MOD(AF$13,2)=0,"D1","B6"),
IFERROR(IF(SUMPRODUCT(($B$3:$AG$3=AF$16)*($B$5:$AG$7=VLOOKUP($B22,'On call stat'!$S$3:$T$10,2,FALSE)))&gt;0,"E","D"),"D"))))))))</f>
        <v>E</v>
      </c>
      <c r="AG22" s="40" t="str">
        <f>IF(COUNTIF(PH!$A:$A,AG$16)&gt;0,"PH",
IF(AND(SUMPRODUCT(($B$9:$AG$10=IFERROR(VLOOKUP($B22,'On call stat'!$S$3:$T$20,2,FALSE),""))*($B$3:$AG$3=AG$16))&gt;0,OR(WEEKDAY(AG$16,2)=6,),OR($B22="Chan, Man Wai",$B22="Ng Suet Ping, Yoko",$B22="Li Mui Ying",$B22="Lee Ka Po, Kathy",$B22="Huang Huanrao, Yoyo")),"HDAL",
IF(OR(WEEKDAY(AG$16,2)=7,AND(WEEKDAY(AG$16,2)=6,SUMPRODUCT(($B$9:$AG$10=IFERROR(VLOOKUP($B22,'On call stat'!$S$3:$T$20,2,FALSE),""))*($B$3:$AG$3=AG$16))&gt;0)),"DO",
IF(SUMPRODUCT(($B$9:$AG$10=IFERROR(VLOOKUP($B22,'On call stat'!$S$3:$T$20,2,FALSE),""))*($B$3:$AG$3=AG$16))&gt;0,"AL",
IF(WEEKDAY(AG$16,2)=6,
IF($B22="Chan, Man Wai","HD",
IF($B22="Ng Suet Ping, Yoko","HD",
IF($B22="Li Mui Ying","HD1",
IF($B22="Huang Huanrao, Yoyo",IF(MOD(AG$13,2)=1,"HD2",IFERROR(IF(SUMPRODUCT(($B$3:$AG$3=AG$16)*($B$5:$AG$7=VLOOKUP($B22,'On call stat'!$S$3:$T$10,2,FALSE)))&gt;0,"D","DO"),"DO")),
IF($B22="Lee Ka Po, Kathy",IF(MOD(AG$13,2)=0,"HD2",IFERROR(IF(SUMPRODUCT(($B$3:$AG$3=AG$16)*($B$5:$AG$7=VLOOKUP($B22,'On call stat'!$S$3:$T$10,2,FALSE)))&gt;0,"D","DO"),"DO")),
IF($B22="Fan Hoi Wan, Ivy",IF(MOD(AG$13,2)=0,"D",IFERROR(IF(SUMPRODUCT(($B$3:$AG$3=AG$16)*($B$5:$AG$7=VLOOKUP($B22,'On call stat'!$S$3:$T$10,2,FALSE)))&gt;0,"D","DO"),"DO")),
IFERROR(IF(SUMPRODUCT(($B$3:$AG$3=AG$16)*($B$5:$AG$7=VLOOKUP($B22,'On call stat'!$S$3:$T$10,2,FALSE)))&gt;0,"D","DO"),"DO"))))))),
IF($B22="Huang Huanrao, Yoyo",IF(MOD(AG$13,2)=1,"D1","B6"),
IF($B22="Lee Ka Po, Kathy",IF(MOD(AG$13,2)=0,"D1","B6"),
IFERROR(IF(SUMPRODUCT(($B$3:$AG$3=AG$16)*($B$5:$AG$7=VLOOKUP($B22,'On call stat'!$S$3:$T$10,2,FALSE)))&gt;0,"E","D"),"D"))))))))</f>
        <v>E</v>
      </c>
      <c r="AK22" s="11" t="s">
        <v>22</v>
      </c>
      <c r="AL22" s="65">
        <f t="shared" si="4"/>
        <v>192</v>
      </c>
      <c r="AM22" s="66" cm="1">
        <f t="array" ref="AM22">SUMPRODUCT((C22:AG22="AL") *  (COUNTIF(PH!$A:$A, C$16:AG$16)=0) *(WEEKDAY(C$16:AG$16,2)&lt;=5) *  8)+SUMPRODUCT((C22:AG22="HDAL") *  (COUNTIF(PH!$A:$A, C$16:AG$16)=0) *(WEEKDAY(C$16:AG$16,2)&lt;=6) *  4)</f>
        <v>0</v>
      </c>
      <c r="AN22" s="68">
        <f t="shared" si="5"/>
        <v>192</v>
      </c>
      <c r="AO22" s="67">
        <f>AN22-$AN$18-4</f>
        <v>0</v>
      </c>
      <c r="AP22" s="67">
        <f>AO22+Nov!AP22</f>
        <v>4</v>
      </c>
    </row>
    <row r="23" spans="1:42" ht="37.5" customHeight="1" thickBot="1">
      <c r="A23" s="23" t="s">
        <v>57</v>
      </c>
      <c r="B23" s="22" t="s">
        <v>60</v>
      </c>
      <c r="C23" s="40" t="str">
        <f>IF(COUNTIF(PH!$A:$A,C$16)&gt;0,"PH",
IF(AND(SUMPRODUCT(($B$9:$AG$10=IFERROR(VLOOKUP($B23,'On call stat'!$S$3:$T$20,2,FALSE),""))*($B$3:$AG$3=C$16))&gt;0,OR(WEEKDAY(C$16,2)=6,),OR($B23="Chan, Man Wai",$B23="Ng Suet Ping, Yoko",$B23="Li Mui Ying",$B23="Lee Ka Po, Kathy",$B23="Huang Huanrao, Yoyo")),"HDAL",
IF(OR(WEEKDAY(C$16,2)=7,AND(WEEKDAY(C$16,2)=6,SUMPRODUCT(($B$9:$AG$10=IFERROR(VLOOKUP($B23,'On call stat'!$S$3:$T$20,2,FALSE),""))*($B$3:$AG$3=C$16))&gt;0)),"DO",
IF(SUMPRODUCT(($B$9:$AG$10=IFERROR(VLOOKUP($B23,'On call stat'!$S$3:$T$20,2,FALSE),""))*($B$3:$AG$3=C$16))&gt;0,"AL",
IF(WEEKDAY(C$16,2)=6,
IF($B23="Chan, Man Wai","HD",
IF($B23="Ng Suet Ping, Yoko","HD",
IF($B23="Li Mui Ying","HD1",
IF($B23="Huang Huanrao, Yoyo",IF(MOD(C$13,2)=1,"HD2",IFERROR(IF(SUMPRODUCT(($B$3:$AG$3=C$16)*($B$5:$AG$7=VLOOKUP($B23,'On call stat'!$S$3:$T$10,2,FALSE)))&gt;0,"D","DO"),"DO")),
IF($B23="Lee Ka Po, Kathy",IF(MOD(C$13,2)=0,"HD2",IFERROR(IF(SUMPRODUCT(($B$3:$AG$3=C$16)*($B$5:$AG$7=VLOOKUP($B23,'On call stat'!$S$3:$T$10,2,FALSE)))&gt;0,"D","DO"),"DO")),
IF($B23="Fan Hoi Wan, Ivy",IF(MOD(C$13,2)=0,"D",IFERROR(IF(SUMPRODUCT(($B$3:$AG$3=C$16)*($B$5:$AG$7=VLOOKUP($B23,'On call stat'!$S$3:$T$10,2,FALSE)))&gt;0,"D","DO"),"DO")),
IFERROR(IF(SUMPRODUCT(($B$3:$AG$3=C$16)*($B$5:$AG$7=VLOOKUP($B23,'On call stat'!$S$3:$T$10,2,FALSE)))&gt;0,"D","DO"),"DO"))))))),
IF($B23="Huang Huanrao, Yoyo",IF(MOD(C$13,2)=1,"D1","B6"),
IF($B23="Lee Ka Po, Kathy",IF(MOD(C$13,2)=0,"D1","B6"),
IFERROR(IF(SUMPRODUCT(($B$3:$AG$3=C$16)*($B$5:$AG$7=VLOOKUP($B23,'On call stat'!$S$3:$T$10,2,FALSE)))&gt;0,"E","D"),"D"))))))))</f>
        <v>E</v>
      </c>
      <c r="D23" s="40" t="str">
        <f>IF(COUNTIF(PH!$A:$A,D$16)&gt;0,"PH",
IF(AND(SUMPRODUCT(($B$9:$AG$10=IFERROR(VLOOKUP($B23,'On call stat'!$S$3:$T$20,2,FALSE),""))*($B$3:$AG$3=D$16))&gt;0,OR(WEEKDAY(D$16,2)=6,),OR($B23="Chan, Man Wai",$B23="Ng Suet Ping, Yoko",$B23="Li Mui Ying",$B23="Lee Ka Po, Kathy",$B23="Huang Huanrao, Yoyo")),"HDAL",
IF(OR(WEEKDAY(D$16,2)=7,AND(WEEKDAY(D$16,2)=6,SUMPRODUCT(($B$9:$AG$10=IFERROR(VLOOKUP($B23,'On call stat'!$S$3:$T$20,2,FALSE),""))*($B$3:$AG$3=D$16))&gt;0)),"DO",
IF(SUMPRODUCT(($B$9:$AG$10=IFERROR(VLOOKUP($B23,'On call stat'!$S$3:$T$20,2,FALSE),""))*($B$3:$AG$3=D$16))&gt;0,"AL",
IF(WEEKDAY(D$16,2)=6,
IF($B23="Chan, Man Wai","HD",
IF($B23="Ng Suet Ping, Yoko","HD",
IF($B23="Li Mui Ying","HD1",
IF($B23="Huang Huanrao, Yoyo",IF(MOD(D$13,2)=1,"HD2",IFERROR(IF(SUMPRODUCT(($B$3:$AG$3=D$16)*($B$5:$AG$7=VLOOKUP($B23,'On call stat'!$S$3:$T$10,2,FALSE)))&gt;0,"D","DO"),"DO")),
IF($B23="Lee Ka Po, Kathy",IF(MOD(D$13,2)=0,"HD2",IFERROR(IF(SUMPRODUCT(($B$3:$AG$3=D$16)*($B$5:$AG$7=VLOOKUP($B23,'On call stat'!$S$3:$T$10,2,FALSE)))&gt;0,"D","DO"),"DO")),
IF($B23="Fan Hoi Wan, Ivy",IF(MOD(D$13,2)=0,"D",IFERROR(IF(SUMPRODUCT(($B$3:$AG$3=D$16)*($B$5:$AG$7=VLOOKUP($B23,'On call stat'!$S$3:$T$10,2,FALSE)))&gt;0,"D","DO"),"DO")),
IFERROR(IF(SUMPRODUCT(($B$3:$AG$3=D$16)*($B$5:$AG$7=VLOOKUP($B23,'On call stat'!$S$3:$T$10,2,FALSE)))&gt;0,"D","DO"),"DO"))))))),
IF($B23="Huang Huanrao, Yoyo",IF(MOD(D$13,2)=1,"D1","B6"),
IF($B23="Lee Ka Po, Kathy",IF(MOD(D$13,2)=0,"D1","B6"),
IFERROR(IF(SUMPRODUCT(($B$3:$AG$3=D$16)*($B$5:$AG$7=VLOOKUP($B23,'On call stat'!$S$3:$T$10,2,FALSE)))&gt;0,"E","D"),"D"))))))))</f>
        <v>E</v>
      </c>
      <c r="E23" s="40" t="str">
        <f>IF(COUNTIF(PH!$A:$A,E$16)&gt;0,"PH",
IF(AND(SUMPRODUCT(($B$9:$AG$10=IFERROR(VLOOKUP($B23,'On call stat'!$S$3:$T$20,2,FALSE),""))*($B$3:$AG$3=E$16))&gt;0,OR(WEEKDAY(E$16,2)=6,),OR($B23="Chan, Man Wai",$B23="Ng Suet Ping, Yoko",$B23="Li Mui Ying",$B23="Lee Ka Po, Kathy",$B23="Huang Huanrao, Yoyo")),"HDAL",
IF(OR(WEEKDAY(E$16,2)=7,AND(WEEKDAY(E$16,2)=6,SUMPRODUCT(($B$9:$AG$10=IFERROR(VLOOKUP($B23,'On call stat'!$S$3:$T$20,2,FALSE),""))*($B$3:$AG$3=E$16))&gt;0)),"DO",
IF(SUMPRODUCT(($B$9:$AG$10=IFERROR(VLOOKUP($B23,'On call stat'!$S$3:$T$20,2,FALSE),""))*($B$3:$AG$3=E$16))&gt;0,"AL",
IF(WEEKDAY(E$16,2)=6,
IF($B23="Chan, Man Wai","HD",
IF($B23="Ng Suet Ping, Yoko","HD",
IF($B23="Li Mui Ying","HD1",
IF($B23="Huang Huanrao, Yoyo",IF(MOD(E$13,2)=1,"HD2",IFERROR(IF(SUMPRODUCT(($B$3:$AG$3=E$16)*($B$5:$AG$7=VLOOKUP($B23,'On call stat'!$S$3:$T$10,2,FALSE)))&gt;0,"D","DO"),"DO")),
IF($B23="Lee Ka Po, Kathy",IF(MOD(E$13,2)=0,"HD2",IFERROR(IF(SUMPRODUCT(($B$3:$AG$3=E$16)*($B$5:$AG$7=VLOOKUP($B23,'On call stat'!$S$3:$T$10,2,FALSE)))&gt;0,"D","DO"),"DO")),
IF($B23="Fan Hoi Wan, Ivy",IF(MOD(E$13,2)=0,"D",IFERROR(IF(SUMPRODUCT(($B$3:$AG$3=E$16)*($B$5:$AG$7=VLOOKUP($B23,'On call stat'!$S$3:$T$10,2,FALSE)))&gt;0,"D","DO"),"DO")),
IFERROR(IF(SUMPRODUCT(($B$3:$AG$3=E$16)*($B$5:$AG$7=VLOOKUP($B23,'On call stat'!$S$3:$T$10,2,FALSE)))&gt;0,"D","DO"),"DO"))))))),
IF($B23="Huang Huanrao, Yoyo",IF(MOD(E$13,2)=1,"D1","B6"),
IF($B23="Lee Ka Po, Kathy",IF(MOD(E$13,2)=0,"D1","B6"),
IFERROR(IF(SUMPRODUCT(($B$3:$AG$3=E$16)*($B$5:$AG$7=VLOOKUP($B23,'On call stat'!$S$3:$T$10,2,FALSE)))&gt;0,"E","D"),"D"))))))))</f>
        <v>E</v>
      </c>
      <c r="F23" s="40" t="str">
        <f>IF(COUNTIF(PH!$A:$A,F$16)&gt;0,"PH",
IF(AND(SUMPRODUCT(($B$9:$AG$10=IFERROR(VLOOKUP($B23,'On call stat'!$S$3:$T$20,2,FALSE),""))*($B$3:$AG$3=F$16))&gt;0,OR(WEEKDAY(F$16,2)=6,),OR($B23="Chan, Man Wai",$B23="Ng Suet Ping, Yoko",$B23="Li Mui Ying",$B23="Lee Ka Po, Kathy",$B23="Huang Huanrao, Yoyo")),"HDAL",
IF(OR(WEEKDAY(F$16,2)=7,AND(WEEKDAY(F$16,2)=6,SUMPRODUCT(($B$9:$AG$10=IFERROR(VLOOKUP($B23,'On call stat'!$S$3:$T$20,2,FALSE),""))*($B$3:$AG$3=F$16))&gt;0)),"DO",
IF(SUMPRODUCT(($B$9:$AG$10=IFERROR(VLOOKUP($B23,'On call stat'!$S$3:$T$20,2,FALSE),""))*($B$3:$AG$3=F$16))&gt;0,"AL",
IF(WEEKDAY(F$16,2)=6,
IF($B23="Chan, Man Wai","HD",
IF($B23="Ng Suet Ping, Yoko","HD",
IF($B23="Li Mui Ying","HD1",
IF($B23="Huang Huanrao, Yoyo",IF(MOD(F$13,2)=1,"HD2",IFERROR(IF(SUMPRODUCT(($B$3:$AG$3=F$16)*($B$5:$AG$7=VLOOKUP($B23,'On call stat'!$S$3:$T$10,2,FALSE)))&gt;0,"D","DO"),"DO")),
IF($B23="Lee Ka Po, Kathy",IF(MOD(F$13,2)=0,"HD2",IFERROR(IF(SUMPRODUCT(($B$3:$AG$3=F$16)*($B$5:$AG$7=VLOOKUP($B23,'On call stat'!$S$3:$T$10,2,FALSE)))&gt;0,"D","DO"),"DO")),
IF($B23="Fan Hoi Wan, Ivy",IF(MOD(F$13,2)=0,"D",IFERROR(IF(SUMPRODUCT(($B$3:$AG$3=F$16)*($B$5:$AG$7=VLOOKUP($B23,'On call stat'!$S$3:$T$10,2,FALSE)))&gt;0,"D","DO"),"DO")),
IFERROR(IF(SUMPRODUCT(($B$3:$AG$3=F$16)*($B$5:$AG$7=VLOOKUP($B23,'On call stat'!$S$3:$T$10,2,FALSE)))&gt;0,"D","DO"),"DO"))))))),
IF($B23="Huang Huanrao, Yoyo",IF(MOD(F$13,2)=1,"D1","B6"),
IF($B23="Lee Ka Po, Kathy",IF(MOD(F$13,2)=0,"D1","B6"),
IFERROR(IF(SUMPRODUCT(($B$3:$AG$3=F$16)*($B$5:$AG$7=VLOOKUP($B23,'On call stat'!$S$3:$T$10,2,FALSE)))&gt;0,"E","D"),"D"))))))))</f>
        <v>E</v>
      </c>
      <c r="G23" s="40" t="str">
        <f>IF(COUNTIF(PH!$A:$A,G$16)&gt;0,"PH",
IF(AND(SUMPRODUCT(($B$9:$AG$10=IFERROR(VLOOKUP($B23,'On call stat'!$S$3:$T$20,2,FALSE),""))*($B$3:$AG$3=G$16))&gt;0,OR(WEEKDAY(G$16,2)=6,),OR($B23="Chan, Man Wai",$B23="Ng Suet Ping, Yoko",$B23="Li Mui Ying",$B23="Lee Ka Po, Kathy",$B23="Huang Huanrao, Yoyo")),"HDAL",
IF(OR(WEEKDAY(G$16,2)=7,AND(WEEKDAY(G$16,2)=6,SUMPRODUCT(($B$9:$AG$10=IFERROR(VLOOKUP($B23,'On call stat'!$S$3:$T$20,2,FALSE),""))*($B$3:$AG$3=G$16))&gt;0)),"DO",
IF(SUMPRODUCT(($B$9:$AG$10=IFERROR(VLOOKUP($B23,'On call stat'!$S$3:$T$20,2,FALSE),""))*($B$3:$AG$3=G$16))&gt;0,"AL",
IF(WEEKDAY(G$16,2)=6,
IF($B23="Chan, Man Wai","HD",
IF($B23="Ng Suet Ping, Yoko","HD",
IF($B23="Li Mui Ying","HD1",
IF($B23="Huang Huanrao, Yoyo",IF(MOD(G$13,2)=1,"HD2",IFERROR(IF(SUMPRODUCT(($B$3:$AG$3=G$16)*($B$5:$AG$7=VLOOKUP($B23,'On call stat'!$S$3:$T$10,2,FALSE)))&gt;0,"D","DO"),"DO")),
IF($B23="Lee Ka Po, Kathy",IF(MOD(G$13,2)=0,"HD2",IFERROR(IF(SUMPRODUCT(($B$3:$AG$3=G$16)*($B$5:$AG$7=VLOOKUP($B23,'On call stat'!$S$3:$T$10,2,FALSE)))&gt;0,"D","DO"),"DO")),
IF($B23="Fan Hoi Wan, Ivy",IF(MOD(G$13,2)=0,"D",IFERROR(IF(SUMPRODUCT(($B$3:$AG$3=G$16)*($B$5:$AG$7=VLOOKUP($B23,'On call stat'!$S$3:$T$10,2,FALSE)))&gt;0,"D","DO"),"DO")),
IFERROR(IF(SUMPRODUCT(($B$3:$AG$3=G$16)*($B$5:$AG$7=VLOOKUP($B23,'On call stat'!$S$3:$T$10,2,FALSE)))&gt;0,"D","DO"),"DO"))))))),
IF($B23="Huang Huanrao, Yoyo",IF(MOD(G$13,2)=1,"D1","B6"),
IF($B23="Lee Ka Po, Kathy",IF(MOD(G$13,2)=0,"D1","B6"),
IFERROR(IF(SUMPRODUCT(($B$3:$AG$3=G$16)*($B$5:$AG$7=VLOOKUP($B23,'On call stat'!$S$3:$T$10,2,FALSE)))&gt;0,"E","D"),"D"))))))))</f>
        <v>D</v>
      </c>
      <c r="H23" s="40" t="str">
        <f>IF(COUNTIF(PH!$A:$A,H$16)&gt;0,"PH",
IF(AND(SUMPRODUCT(($B$9:$AG$10=IFERROR(VLOOKUP($B23,'On call stat'!$S$3:$T$20,2,FALSE),""))*($B$3:$AG$3=H$16))&gt;0,OR(WEEKDAY(H$16,2)=6,),OR($B23="Chan, Man Wai",$B23="Ng Suet Ping, Yoko",$B23="Li Mui Ying",$B23="Lee Ka Po, Kathy",$B23="Huang Huanrao, Yoyo")),"HDAL",
IF(OR(WEEKDAY(H$16,2)=7,AND(WEEKDAY(H$16,2)=6,SUMPRODUCT(($B$9:$AG$10=IFERROR(VLOOKUP($B23,'On call stat'!$S$3:$T$20,2,FALSE),""))*($B$3:$AG$3=H$16))&gt;0)),"DO",
IF(SUMPRODUCT(($B$9:$AG$10=IFERROR(VLOOKUP($B23,'On call stat'!$S$3:$T$20,2,FALSE),""))*($B$3:$AG$3=H$16))&gt;0,"AL",
IF(WEEKDAY(H$16,2)=6,
IF($B23="Chan, Man Wai","HD",
IF($B23="Ng Suet Ping, Yoko","HD",
IF($B23="Li Mui Ying","HD1",
IF($B23="Huang Huanrao, Yoyo",IF(MOD(H$13,2)=1,"HD2",IFERROR(IF(SUMPRODUCT(($B$3:$AG$3=H$16)*($B$5:$AG$7=VLOOKUP($B23,'On call stat'!$S$3:$T$10,2,FALSE)))&gt;0,"D","DO"),"DO")),
IF($B23="Lee Ka Po, Kathy",IF(MOD(H$13,2)=0,"HD2",IFERROR(IF(SUMPRODUCT(($B$3:$AG$3=H$16)*($B$5:$AG$7=VLOOKUP($B23,'On call stat'!$S$3:$T$10,2,FALSE)))&gt;0,"D","DO"),"DO")),
IF($B23="Fan Hoi Wan, Ivy",IF(MOD(H$13,2)=0,"D",IFERROR(IF(SUMPRODUCT(($B$3:$AG$3=H$16)*($B$5:$AG$7=VLOOKUP($B23,'On call stat'!$S$3:$T$10,2,FALSE)))&gt;0,"D","DO"),"DO")),
IFERROR(IF(SUMPRODUCT(($B$3:$AG$3=H$16)*($B$5:$AG$7=VLOOKUP($B23,'On call stat'!$S$3:$T$10,2,FALSE)))&gt;0,"D","DO"),"DO"))))))),
IF($B23="Huang Huanrao, Yoyo",IF(MOD(H$13,2)=1,"D1","B6"),
IF($B23="Lee Ka Po, Kathy",IF(MOD(H$13,2)=0,"D1","B6"),
IFERROR(IF(SUMPRODUCT(($B$3:$AG$3=H$16)*($B$5:$AG$7=VLOOKUP($B23,'On call stat'!$S$3:$T$10,2,FALSE)))&gt;0,"E","D"),"D"))))))))</f>
        <v>DO</v>
      </c>
      <c r="I23" s="40" t="str">
        <f>IF(COUNTIF(PH!$A:$A,I$16)&gt;0,"PH",
IF(AND(SUMPRODUCT(($B$9:$AG$10=IFERROR(VLOOKUP($B23,'On call stat'!$S$3:$T$20,2,FALSE),""))*($B$3:$AG$3=I$16))&gt;0,OR(WEEKDAY(I$16,2)=6,),OR($B23="Chan, Man Wai",$B23="Ng Suet Ping, Yoko",$B23="Li Mui Ying",$B23="Lee Ka Po, Kathy",$B23="Huang Huanrao, Yoyo")),"HDAL",
IF(OR(WEEKDAY(I$16,2)=7,AND(WEEKDAY(I$16,2)=6,SUMPRODUCT(($B$9:$AG$10=IFERROR(VLOOKUP($B23,'On call stat'!$S$3:$T$20,2,FALSE),""))*($B$3:$AG$3=I$16))&gt;0)),"DO",
IF(SUMPRODUCT(($B$9:$AG$10=IFERROR(VLOOKUP($B23,'On call stat'!$S$3:$T$20,2,FALSE),""))*($B$3:$AG$3=I$16))&gt;0,"AL",
IF(WEEKDAY(I$16,2)=6,
IF($B23="Chan, Man Wai","HD",
IF($B23="Ng Suet Ping, Yoko","HD",
IF($B23="Li Mui Ying","HD1",
IF($B23="Huang Huanrao, Yoyo",IF(MOD(I$13,2)=1,"HD2",IFERROR(IF(SUMPRODUCT(($B$3:$AG$3=I$16)*($B$5:$AG$7=VLOOKUP($B23,'On call stat'!$S$3:$T$10,2,FALSE)))&gt;0,"D","DO"),"DO")),
IF($B23="Lee Ka Po, Kathy",IF(MOD(I$13,2)=0,"HD2",IFERROR(IF(SUMPRODUCT(($B$3:$AG$3=I$16)*($B$5:$AG$7=VLOOKUP($B23,'On call stat'!$S$3:$T$10,2,FALSE)))&gt;0,"D","DO"),"DO")),
IF($B23="Fan Hoi Wan, Ivy",IF(MOD(I$13,2)=0,"D",IFERROR(IF(SUMPRODUCT(($B$3:$AG$3=I$16)*($B$5:$AG$7=VLOOKUP($B23,'On call stat'!$S$3:$T$10,2,FALSE)))&gt;0,"D","DO"),"DO")),
IFERROR(IF(SUMPRODUCT(($B$3:$AG$3=I$16)*($B$5:$AG$7=VLOOKUP($B23,'On call stat'!$S$3:$T$10,2,FALSE)))&gt;0,"D","DO"),"DO"))))))),
IF($B23="Huang Huanrao, Yoyo",IF(MOD(I$13,2)=1,"D1","B6"),
IF($B23="Lee Ka Po, Kathy",IF(MOD(I$13,2)=0,"D1","B6"),
IFERROR(IF(SUMPRODUCT(($B$3:$AG$3=I$16)*($B$5:$AG$7=VLOOKUP($B23,'On call stat'!$S$3:$T$10,2,FALSE)))&gt;0,"E","D"),"D"))))))))</f>
        <v>AL</v>
      </c>
      <c r="J23" s="40" t="str">
        <f>IF(COUNTIF(PH!$A:$A,J$16)&gt;0,"PH",
IF(AND(SUMPRODUCT(($B$9:$AG$10=IFERROR(VLOOKUP($B23,'On call stat'!$S$3:$T$20,2,FALSE),""))*($B$3:$AG$3=J$16))&gt;0,OR(WEEKDAY(J$16,2)=6,),OR($B23="Chan, Man Wai",$B23="Ng Suet Ping, Yoko",$B23="Li Mui Ying",$B23="Lee Ka Po, Kathy",$B23="Huang Huanrao, Yoyo")),"HDAL",
IF(OR(WEEKDAY(J$16,2)=7,AND(WEEKDAY(J$16,2)=6,SUMPRODUCT(($B$9:$AG$10=IFERROR(VLOOKUP($B23,'On call stat'!$S$3:$T$20,2,FALSE),""))*($B$3:$AG$3=J$16))&gt;0)),"DO",
IF(SUMPRODUCT(($B$9:$AG$10=IFERROR(VLOOKUP($B23,'On call stat'!$S$3:$T$20,2,FALSE),""))*($B$3:$AG$3=J$16))&gt;0,"AL",
IF(WEEKDAY(J$16,2)=6,
IF($B23="Chan, Man Wai","HD",
IF($B23="Ng Suet Ping, Yoko","HD",
IF($B23="Li Mui Ying","HD1",
IF($B23="Huang Huanrao, Yoyo",IF(MOD(J$13,2)=1,"HD2",IFERROR(IF(SUMPRODUCT(($B$3:$AG$3=J$16)*($B$5:$AG$7=VLOOKUP($B23,'On call stat'!$S$3:$T$10,2,FALSE)))&gt;0,"D","DO"),"DO")),
IF($B23="Lee Ka Po, Kathy",IF(MOD(J$13,2)=0,"HD2",IFERROR(IF(SUMPRODUCT(($B$3:$AG$3=J$16)*($B$5:$AG$7=VLOOKUP($B23,'On call stat'!$S$3:$T$10,2,FALSE)))&gt;0,"D","DO"),"DO")),
IF($B23="Fan Hoi Wan, Ivy",IF(MOD(J$13,2)=0,"D",IFERROR(IF(SUMPRODUCT(($B$3:$AG$3=J$16)*($B$5:$AG$7=VLOOKUP($B23,'On call stat'!$S$3:$T$10,2,FALSE)))&gt;0,"D","DO"),"DO")),
IFERROR(IF(SUMPRODUCT(($B$3:$AG$3=J$16)*($B$5:$AG$7=VLOOKUP($B23,'On call stat'!$S$3:$T$10,2,FALSE)))&gt;0,"D","DO"),"DO"))))))),
IF($B23="Huang Huanrao, Yoyo",IF(MOD(J$13,2)=1,"D1","B6"),
IF($B23="Lee Ka Po, Kathy",IF(MOD(J$13,2)=0,"D1","B6"),
IFERROR(IF(SUMPRODUCT(($B$3:$AG$3=J$16)*($B$5:$AG$7=VLOOKUP($B23,'On call stat'!$S$3:$T$10,2,FALSE)))&gt;0,"E","D"),"D"))))))))</f>
        <v>AL</v>
      </c>
      <c r="K23" s="40" t="str">
        <f>IF(COUNTIF(PH!$A:$A,K$16)&gt;0,"PH",
IF(AND(SUMPRODUCT(($B$9:$AG$10=IFERROR(VLOOKUP($B23,'On call stat'!$S$3:$T$20,2,FALSE),""))*($B$3:$AG$3=K$16))&gt;0,OR(WEEKDAY(K$16,2)=6,),OR($B23="Chan, Man Wai",$B23="Ng Suet Ping, Yoko",$B23="Li Mui Ying",$B23="Lee Ka Po, Kathy",$B23="Huang Huanrao, Yoyo")),"HDAL",
IF(OR(WEEKDAY(K$16,2)=7,AND(WEEKDAY(K$16,2)=6,SUMPRODUCT(($B$9:$AG$10=IFERROR(VLOOKUP($B23,'On call stat'!$S$3:$T$20,2,FALSE),""))*($B$3:$AG$3=K$16))&gt;0)),"DO",
IF(SUMPRODUCT(($B$9:$AG$10=IFERROR(VLOOKUP($B23,'On call stat'!$S$3:$T$20,2,FALSE),""))*($B$3:$AG$3=K$16))&gt;0,"AL",
IF(WEEKDAY(K$16,2)=6,
IF($B23="Chan, Man Wai","HD",
IF($B23="Ng Suet Ping, Yoko","HD",
IF($B23="Li Mui Ying","HD1",
IF($B23="Huang Huanrao, Yoyo",IF(MOD(K$13,2)=1,"HD2",IFERROR(IF(SUMPRODUCT(($B$3:$AG$3=K$16)*($B$5:$AG$7=VLOOKUP($B23,'On call stat'!$S$3:$T$10,2,FALSE)))&gt;0,"D","DO"),"DO")),
IF($B23="Lee Ka Po, Kathy",IF(MOD(K$13,2)=0,"HD2",IFERROR(IF(SUMPRODUCT(($B$3:$AG$3=K$16)*($B$5:$AG$7=VLOOKUP($B23,'On call stat'!$S$3:$T$10,2,FALSE)))&gt;0,"D","DO"),"DO")),
IF($B23="Fan Hoi Wan, Ivy",IF(MOD(K$13,2)=0,"D",IFERROR(IF(SUMPRODUCT(($B$3:$AG$3=K$16)*($B$5:$AG$7=VLOOKUP($B23,'On call stat'!$S$3:$T$10,2,FALSE)))&gt;0,"D","DO"),"DO")),
IFERROR(IF(SUMPRODUCT(($B$3:$AG$3=K$16)*($B$5:$AG$7=VLOOKUP($B23,'On call stat'!$S$3:$T$10,2,FALSE)))&gt;0,"D","DO"),"DO"))))))),
IF($B23="Huang Huanrao, Yoyo",IF(MOD(K$13,2)=1,"D1","B6"),
IF($B23="Lee Ka Po, Kathy",IF(MOD(K$13,2)=0,"D1","B6"),
IFERROR(IF(SUMPRODUCT(($B$3:$AG$3=K$16)*($B$5:$AG$7=VLOOKUP($B23,'On call stat'!$S$3:$T$10,2,FALSE)))&gt;0,"E","D"),"D"))))))))</f>
        <v>AL</v>
      </c>
      <c r="L23" s="40" t="str">
        <f>IF(COUNTIF(PH!$A:$A,L$16)&gt;0,"PH",
IF(AND(SUMPRODUCT(($B$9:$AG$10=IFERROR(VLOOKUP($B23,'On call stat'!$S$3:$T$20,2,FALSE),""))*($B$3:$AG$3=L$16))&gt;0,OR(WEEKDAY(L$16,2)=6,),OR($B23="Chan, Man Wai",$B23="Ng Suet Ping, Yoko",$B23="Li Mui Ying",$B23="Lee Ka Po, Kathy",$B23="Huang Huanrao, Yoyo")),"HDAL",
IF(OR(WEEKDAY(L$16,2)=7,AND(WEEKDAY(L$16,2)=6,SUMPRODUCT(($B$9:$AG$10=IFERROR(VLOOKUP($B23,'On call stat'!$S$3:$T$20,2,FALSE),""))*($B$3:$AG$3=L$16))&gt;0)),"DO",
IF(SUMPRODUCT(($B$9:$AG$10=IFERROR(VLOOKUP($B23,'On call stat'!$S$3:$T$20,2,FALSE),""))*($B$3:$AG$3=L$16))&gt;0,"AL",
IF(WEEKDAY(L$16,2)=6,
IF($B23="Chan, Man Wai","HD",
IF($B23="Ng Suet Ping, Yoko","HD",
IF($B23="Li Mui Ying","HD1",
IF($B23="Huang Huanrao, Yoyo",IF(MOD(L$13,2)=1,"HD2",IFERROR(IF(SUMPRODUCT(($B$3:$AG$3=L$16)*($B$5:$AG$7=VLOOKUP($B23,'On call stat'!$S$3:$T$10,2,FALSE)))&gt;0,"D","DO"),"DO")),
IF($B23="Lee Ka Po, Kathy",IF(MOD(L$13,2)=0,"HD2",IFERROR(IF(SUMPRODUCT(($B$3:$AG$3=L$16)*($B$5:$AG$7=VLOOKUP($B23,'On call stat'!$S$3:$T$10,2,FALSE)))&gt;0,"D","DO"),"DO")),
IF($B23="Fan Hoi Wan, Ivy",IF(MOD(L$13,2)=0,"D",IFERROR(IF(SUMPRODUCT(($B$3:$AG$3=L$16)*($B$5:$AG$7=VLOOKUP($B23,'On call stat'!$S$3:$T$10,2,FALSE)))&gt;0,"D","DO"),"DO")),
IFERROR(IF(SUMPRODUCT(($B$3:$AG$3=L$16)*($B$5:$AG$7=VLOOKUP($B23,'On call stat'!$S$3:$T$10,2,FALSE)))&gt;0,"D","DO"),"DO"))))))),
IF($B23="Huang Huanrao, Yoyo",IF(MOD(L$13,2)=1,"D1","B6"),
IF($B23="Lee Ka Po, Kathy",IF(MOD(L$13,2)=0,"D1","B6"),
IFERROR(IF(SUMPRODUCT(($B$3:$AG$3=L$16)*($B$5:$AG$7=VLOOKUP($B23,'On call stat'!$S$3:$T$10,2,FALSE)))&gt;0,"E","D"),"D"))))))))</f>
        <v>AL</v>
      </c>
      <c r="M23" s="40" t="str">
        <f>IF(COUNTIF(PH!$A:$A,M$16)&gt;0,"PH",
IF(AND(SUMPRODUCT(($B$9:$AG$10=IFERROR(VLOOKUP($B23,'On call stat'!$S$3:$T$20,2,FALSE),""))*($B$3:$AG$3=M$16))&gt;0,OR(WEEKDAY(M$16,2)=6,),OR($B23="Chan, Man Wai",$B23="Ng Suet Ping, Yoko",$B23="Li Mui Ying",$B23="Lee Ka Po, Kathy",$B23="Huang Huanrao, Yoyo")),"HDAL",
IF(OR(WEEKDAY(M$16,2)=7,AND(WEEKDAY(M$16,2)=6,SUMPRODUCT(($B$9:$AG$10=IFERROR(VLOOKUP($B23,'On call stat'!$S$3:$T$20,2,FALSE),""))*($B$3:$AG$3=M$16))&gt;0)),"DO",
IF(SUMPRODUCT(($B$9:$AG$10=IFERROR(VLOOKUP($B23,'On call stat'!$S$3:$T$20,2,FALSE),""))*($B$3:$AG$3=M$16))&gt;0,"AL",
IF(WEEKDAY(M$16,2)=6,
IF($B23="Chan, Man Wai","HD",
IF($B23="Ng Suet Ping, Yoko","HD",
IF($B23="Li Mui Ying","HD1",
IF($B23="Huang Huanrao, Yoyo",IF(MOD(M$13,2)=1,"HD2",IFERROR(IF(SUMPRODUCT(($B$3:$AG$3=M$16)*($B$5:$AG$7=VLOOKUP($B23,'On call stat'!$S$3:$T$10,2,FALSE)))&gt;0,"D","DO"),"DO")),
IF($B23="Lee Ka Po, Kathy",IF(MOD(M$13,2)=0,"HD2",IFERROR(IF(SUMPRODUCT(($B$3:$AG$3=M$16)*($B$5:$AG$7=VLOOKUP($B23,'On call stat'!$S$3:$T$10,2,FALSE)))&gt;0,"D","DO"),"DO")),
IF($B23="Fan Hoi Wan, Ivy",IF(MOD(M$13,2)=0,"D",IFERROR(IF(SUMPRODUCT(($B$3:$AG$3=M$16)*($B$5:$AG$7=VLOOKUP($B23,'On call stat'!$S$3:$T$10,2,FALSE)))&gt;0,"D","DO"),"DO")),
IFERROR(IF(SUMPRODUCT(($B$3:$AG$3=M$16)*($B$5:$AG$7=VLOOKUP($B23,'On call stat'!$S$3:$T$10,2,FALSE)))&gt;0,"D","DO"),"DO"))))))),
IF($B23="Huang Huanrao, Yoyo",IF(MOD(M$13,2)=1,"D1","B6"),
IF($B23="Lee Ka Po, Kathy",IF(MOD(M$13,2)=0,"D1","B6"),
IFERROR(IF(SUMPRODUCT(($B$3:$AG$3=M$16)*($B$5:$AG$7=VLOOKUP($B23,'On call stat'!$S$3:$T$10,2,FALSE)))&gt;0,"E","D"),"D"))))))))</f>
        <v>AL</v>
      </c>
      <c r="N23" s="40" t="str">
        <f>IF(COUNTIF(PH!$A:$A,N$16)&gt;0,"PH",
IF(AND(SUMPRODUCT(($B$9:$AG$10=IFERROR(VLOOKUP($B23,'On call stat'!$S$3:$T$20,2,FALSE),""))*($B$3:$AG$3=N$16))&gt;0,OR(WEEKDAY(N$16,2)=6,),OR($B23="Chan, Man Wai",$B23="Ng Suet Ping, Yoko",$B23="Li Mui Ying",$B23="Lee Ka Po, Kathy",$B23="Huang Huanrao, Yoyo")),"HDAL",
IF(OR(WEEKDAY(N$16,2)=7,AND(WEEKDAY(N$16,2)=6,SUMPRODUCT(($B$9:$AG$10=IFERROR(VLOOKUP($B23,'On call stat'!$S$3:$T$20,2,FALSE),""))*($B$3:$AG$3=N$16))&gt;0)),"DO",
IF(SUMPRODUCT(($B$9:$AG$10=IFERROR(VLOOKUP($B23,'On call stat'!$S$3:$T$20,2,FALSE),""))*($B$3:$AG$3=N$16))&gt;0,"AL",
IF(WEEKDAY(N$16,2)=6,
IF($B23="Chan, Man Wai","HD",
IF($B23="Ng Suet Ping, Yoko","HD",
IF($B23="Li Mui Ying","HD1",
IF($B23="Huang Huanrao, Yoyo",IF(MOD(N$13,2)=1,"HD2",IFERROR(IF(SUMPRODUCT(($B$3:$AG$3=N$16)*($B$5:$AG$7=VLOOKUP($B23,'On call stat'!$S$3:$T$10,2,FALSE)))&gt;0,"D","DO"),"DO")),
IF($B23="Lee Ka Po, Kathy",IF(MOD(N$13,2)=0,"HD2",IFERROR(IF(SUMPRODUCT(($B$3:$AG$3=N$16)*($B$5:$AG$7=VLOOKUP($B23,'On call stat'!$S$3:$T$10,2,FALSE)))&gt;0,"D","DO"),"DO")),
IF($B23="Fan Hoi Wan, Ivy",IF(MOD(N$13,2)=0,"D",IFERROR(IF(SUMPRODUCT(($B$3:$AG$3=N$16)*($B$5:$AG$7=VLOOKUP($B23,'On call stat'!$S$3:$T$10,2,FALSE)))&gt;0,"D","DO"),"DO")),
IFERROR(IF(SUMPRODUCT(($B$3:$AG$3=N$16)*($B$5:$AG$7=VLOOKUP($B23,'On call stat'!$S$3:$T$10,2,FALSE)))&gt;0,"D","DO"),"DO"))))))),
IF($B23="Huang Huanrao, Yoyo",IF(MOD(N$13,2)=1,"D1","B6"),
IF($B23="Lee Ka Po, Kathy",IF(MOD(N$13,2)=0,"D1","B6"),
IFERROR(IF(SUMPRODUCT(($B$3:$AG$3=N$16)*($B$5:$AG$7=VLOOKUP($B23,'On call stat'!$S$3:$T$10,2,FALSE)))&gt;0,"E","D"),"D"))))))))</f>
        <v>DO</v>
      </c>
      <c r="O23" s="40" t="str">
        <f>IF(COUNTIF(PH!$A:$A,O$16)&gt;0,"PH",
IF(AND(SUMPRODUCT(($B$9:$AG$10=IFERROR(VLOOKUP($B23,'On call stat'!$S$3:$T$20,2,FALSE),""))*($B$3:$AG$3=O$16))&gt;0,OR(WEEKDAY(O$16,2)=6,),OR($B23="Chan, Man Wai",$B23="Ng Suet Ping, Yoko",$B23="Li Mui Ying",$B23="Lee Ka Po, Kathy",$B23="Huang Huanrao, Yoyo")),"HDAL",
IF(OR(WEEKDAY(O$16,2)=7,AND(WEEKDAY(O$16,2)=6,SUMPRODUCT(($B$9:$AG$10=IFERROR(VLOOKUP($B23,'On call stat'!$S$3:$T$20,2,FALSE),""))*($B$3:$AG$3=O$16))&gt;0)),"DO",
IF(SUMPRODUCT(($B$9:$AG$10=IFERROR(VLOOKUP($B23,'On call stat'!$S$3:$T$20,2,FALSE),""))*($B$3:$AG$3=O$16))&gt;0,"AL",
IF(WEEKDAY(O$16,2)=6,
IF($B23="Chan, Man Wai","HD",
IF($B23="Ng Suet Ping, Yoko","HD",
IF($B23="Li Mui Ying","HD1",
IF($B23="Huang Huanrao, Yoyo",IF(MOD(O$13,2)=1,"HD2",IFERROR(IF(SUMPRODUCT(($B$3:$AG$3=O$16)*($B$5:$AG$7=VLOOKUP($B23,'On call stat'!$S$3:$T$10,2,FALSE)))&gt;0,"D","DO"),"DO")),
IF($B23="Lee Ka Po, Kathy",IF(MOD(O$13,2)=0,"HD2",IFERROR(IF(SUMPRODUCT(($B$3:$AG$3=O$16)*($B$5:$AG$7=VLOOKUP($B23,'On call stat'!$S$3:$T$10,2,FALSE)))&gt;0,"D","DO"),"DO")),
IF($B23="Fan Hoi Wan, Ivy",IF(MOD(O$13,2)=0,"D",IFERROR(IF(SUMPRODUCT(($B$3:$AG$3=O$16)*($B$5:$AG$7=VLOOKUP($B23,'On call stat'!$S$3:$T$10,2,FALSE)))&gt;0,"D","DO"),"DO")),
IFERROR(IF(SUMPRODUCT(($B$3:$AG$3=O$16)*($B$5:$AG$7=VLOOKUP($B23,'On call stat'!$S$3:$T$10,2,FALSE)))&gt;0,"D","DO"),"DO"))))))),
IF($B23="Huang Huanrao, Yoyo",IF(MOD(O$13,2)=1,"D1","B6"),
IF($B23="Lee Ka Po, Kathy",IF(MOD(O$13,2)=0,"D1","B6"),
IFERROR(IF(SUMPRODUCT(($B$3:$AG$3=O$16)*($B$5:$AG$7=VLOOKUP($B23,'On call stat'!$S$3:$T$10,2,FALSE)))&gt;0,"E","D"),"D"))))))))</f>
        <v>DO</v>
      </c>
      <c r="P23" s="40" t="str">
        <f>IF(COUNTIF(PH!$A:$A,P$16)&gt;0,"PH",
IF(AND(SUMPRODUCT(($B$9:$AG$10=IFERROR(VLOOKUP($B23,'On call stat'!$S$3:$T$20,2,FALSE),""))*($B$3:$AG$3=P$16))&gt;0,OR(WEEKDAY(P$16,2)=6,),OR($B23="Chan, Man Wai",$B23="Ng Suet Ping, Yoko",$B23="Li Mui Ying",$B23="Lee Ka Po, Kathy",$B23="Huang Huanrao, Yoyo")),"HDAL",
IF(OR(WEEKDAY(P$16,2)=7,AND(WEEKDAY(P$16,2)=6,SUMPRODUCT(($B$9:$AG$10=IFERROR(VLOOKUP($B23,'On call stat'!$S$3:$T$20,2,FALSE),""))*($B$3:$AG$3=P$16))&gt;0)),"DO",
IF(SUMPRODUCT(($B$9:$AG$10=IFERROR(VLOOKUP($B23,'On call stat'!$S$3:$T$20,2,FALSE),""))*($B$3:$AG$3=P$16))&gt;0,"AL",
IF(WEEKDAY(P$16,2)=6,
IF($B23="Chan, Man Wai","HD",
IF($B23="Ng Suet Ping, Yoko","HD",
IF($B23="Li Mui Ying","HD1",
IF($B23="Huang Huanrao, Yoyo",IF(MOD(P$13,2)=1,"HD2",IFERROR(IF(SUMPRODUCT(($B$3:$AG$3=P$16)*($B$5:$AG$7=VLOOKUP($B23,'On call stat'!$S$3:$T$10,2,FALSE)))&gt;0,"D","DO"),"DO")),
IF($B23="Lee Ka Po, Kathy",IF(MOD(P$13,2)=0,"HD2",IFERROR(IF(SUMPRODUCT(($B$3:$AG$3=P$16)*($B$5:$AG$7=VLOOKUP($B23,'On call stat'!$S$3:$T$10,2,FALSE)))&gt;0,"D","DO"),"DO")),
IF($B23="Fan Hoi Wan, Ivy",IF(MOD(P$13,2)=0,"D",IFERROR(IF(SUMPRODUCT(($B$3:$AG$3=P$16)*($B$5:$AG$7=VLOOKUP($B23,'On call stat'!$S$3:$T$10,2,FALSE)))&gt;0,"D","DO"),"DO")),
IFERROR(IF(SUMPRODUCT(($B$3:$AG$3=P$16)*($B$5:$AG$7=VLOOKUP($B23,'On call stat'!$S$3:$T$10,2,FALSE)))&gt;0,"D","DO"),"DO"))))))),
IF($B23="Huang Huanrao, Yoyo",IF(MOD(P$13,2)=1,"D1","B6"),
IF($B23="Lee Ka Po, Kathy",IF(MOD(P$13,2)=0,"D1","B6"),
IFERROR(IF(SUMPRODUCT(($B$3:$AG$3=P$16)*($B$5:$AG$7=VLOOKUP($B23,'On call stat'!$S$3:$T$10,2,FALSE)))&gt;0,"E","D"),"D"))))))))</f>
        <v>AL</v>
      </c>
      <c r="Q23" s="40" t="str">
        <f>IF(COUNTIF(PH!$A:$A,Q$16)&gt;0,"PH",
IF(AND(SUMPRODUCT(($B$9:$AG$10=IFERROR(VLOOKUP($B23,'On call stat'!$S$3:$T$20,2,FALSE),""))*($B$3:$AG$3=Q$16))&gt;0,OR(WEEKDAY(Q$16,2)=6,),OR($B23="Chan, Man Wai",$B23="Ng Suet Ping, Yoko",$B23="Li Mui Ying",$B23="Lee Ka Po, Kathy",$B23="Huang Huanrao, Yoyo")),"HDAL",
IF(OR(WEEKDAY(Q$16,2)=7,AND(WEEKDAY(Q$16,2)=6,SUMPRODUCT(($B$9:$AG$10=IFERROR(VLOOKUP($B23,'On call stat'!$S$3:$T$20,2,FALSE),""))*($B$3:$AG$3=Q$16))&gt;0)),"DO",
IF(SUMPRODUCT(($B$9:$AG$10=IFERROR(VLOOKUP($B23,'On call stat'!$S$3:$T$20,2,FALSE),""))*($B$3:$AG$3=Q$16))&gt;0,"AL",
IF(WEEKDAY(Q$16,2)=6,
IF($B23="Chan, Man Wai","HD",
IF($B23="Ng Suet Ping, Yoko","HD",
IF($B23="Li Mui Ying","HD1",
IF($B23="Huang Huanrao, Yoyo",IF(MOD(Q$13,2)=1,"HD2",IFERROR(IF(SUMPRODUCT(($B$3:$AG$3=Q$16)*($B$5:$AG$7=VLOOKUP($B23,'On call stat'!$S$3:$T$10,2,FALSE)))&gt;0,"D","DO"),"DO")),
IF($B23="Lee Ka Po, Kathy",IF(MOD(Q$13,2)=0,"HD2",IFERROR(IF(SUMPRODUCT(($B$3:$AG$3=Q$16)*($B$5:$AG$7=VLOOKUP($B23,'On call stat'!$S$3:$T$10,2,FALSE)))&gt;0,"D","DO"),"DO")),
IF($B23="Fan Hoi Wan, Ivy",IF(MOD(Q$13,2)=0,"D",IFERROR(IF(SUMPRODUCT(($B$3:$AG$3=Q$16)*($B$5:$AG$7=VLOOKUP($B23,'On call stat'!$S$3:$T$10,2,FALSE)))&gt;0,"D","DO"),"DO")),
IFERROR(IF(SUMPRODUCT(($B$3:$AG$3=Q$16)*($B$5:$AG$7=VLOOKUP($B23,'On call stat'!$S$3:$T$10,2,FALSE)))&gt;0,"D","DO"),"DO"))))))),
IF($B23="Huang Huanrao, Yoyo",IF(MOD(Q$13,2)=1,"D1","B6"),
IF($B23="Lee Ka Po, Kathy",IF(MOD(Q$13,2)=0,"D1","B6"),
IFERROR(IF(SUMPRODUCT(($B$3:$AG$3=Q$16)*($B$5:$AG$7=VLOOKUP($B23,'On call stat'!$S$3:$T$10,2,FALSE)))&gt;0,"E","D"),"D"))))))))</f>
        <v>AL</v>
      </c>
      <c r="R23" s="40" t="str">
        <f>IF(COUNTIF(PH!$A:$A,R$16)&gt;0,"PH",
IF(AND(SUMPRODUCT(($B$9:$AG$10=IFERROR(VLOOKUP($B23,'On call stat'!$S$3:$T$20,2,FALSE),""))*($B$3:$AG$3=R$16))&gt;0,OR(WEEKDAY(R$16,2)=6,),OR($B23="Chan, Man Wai",$B23="Ng Suet Ping, Yoko",$B23="Li Mui Ying",$B23="Lee Ka Po, Kathy",$B23="Huang Huanrao, Yoyo")),"HDAL",
IF(OR(WEEKDAY(R$16,2)=7,AND(WEEKDAY(R$16,2)=6,SUMPRODUCT(($B$9:$AG$10=IFERROR(VLOOKUP($B23,'On call stat'!$S$3:$T$20,2,FALSE),""))*($B$3:$AG$3=R$16))&gt;0)),"DO",
IF(SUMPRODUCT(($B$9:$AG$10=IFERROR(VLOOKUP($B23,'On call stat'!$S$3:$T$20,2,FALSE),""))*($B$3:$AG$3=R$16))&gt;0,"AL",
IF(WEEKDAY(R$16,2)=6,
IF($B23="Chan, Man Wai","HD",
IF($B23="Ng Suet Ping, Yoko","HD",
IF($B23="Li Mui Ying","HD1",
IF($B23="Huang Huanrao, Yoyo",IF(MOD(R$13,2)=1,"HD2",IFERROR(IF(SUMPRODUCT(($B$3:$AG$3=R$16)*($B$5:$AG$7=VLOOKUP($B23,'On call stat'!$S$3:$T$10,2,FALSE)))&gt;0,"D","DO"),"DO")),
IF($B23="Lee Ka Po, Kathy",IF(MOD(R$13,2)=0,"HD2",IFERROR(IF(SUMPRODUCT(($B$3:$AG$3=R$16)*($B$5:$AG$7=VLOOKUP($B23,'On call stat'!$S$3:$T$10,2,FALSE)))&gt;0,"D","DO"),"DO")),
IF($B23="Fan Hoi Wan, Ivy",IF(MOD(R$13,2)=0,"D",IFERROR(IF(SUMPRODUCT(($B$3:$AG$3=R$16)*($B$5:$AG$7=VLOOKUP($B23,'On call stat'!$S$3:$T$10,2,FALSE)))&gt;0,"D","DO"),"DO")),
IFERROR(IF(SUMPRODUCT(($B$3:$AG$3=R$16)*($B$5:$AG$7=VLOOKUP($B23,'On call stat'!$S$3:$T$10,2,FALSE)))&gt;0,"D","DO"),"DO"))))))),
IF($B23="Huang Huanrao, Yoyo",IF(MOD(R$13,2)=1,"D1","B6"),
IF($B23="Lee Ka Po, Kathy",IF(MOD(R$13,2)=0,"D1","B6"),
IFERROR(IF(SUMPRODUCT(($B$3:$AG$3=R$16)*($B$5:$AG$7=VLOOKUP($B23,'On call stat'!$S$3:$T$10,2,FALSE)))&gt;0,"E","D"),"D"))))))))</f>
        <v>AL</v>
      </c>
      <c r="S23" s="40" t="str">
        <f>IF(COUNTIF(PH!$A:$A,S$16)&gt;0,"PH",
IF(AND(SUMPRODUCT(($B$9:$AG$10=IFERROR(VLOOKUP($B23,'On call stat'!$S$3:$T$20,2,FALSE),""))*($B$3:$AG$3=S$16))&gt;0,OR(WEEKDAY(S$16,2)=6,),OR($B23="Chan, Man Wai",$B23="Ng Suet Ping, Yoko",$B23="Li Mui Ying",$B23="Lee Ka Po, Kathy",$B23="Huang Huanrao, Yoyo")),"HDAL",
IF(OR(WEEKDAY(S$16,2)=7,AND(WEEKDAY(S$16,2)=6,SUMPRODUCT(($B$9:$AG$10=IFERROR(VLOOKUP($B23,'On call stat'!$S$3:$T$20,2,FALSE),""))*($B$3:$AG$3=S$16))&gt;0)),"DO",
IF(SUMPRODUCT(($B$9:$AG$10=IFERROR(VLOOKUP($B23,'On call stat'!$S$3:$T$20,2,FALSE),""))*($B$3:$AG$3=S$16))&gt;0,"AL",
IF(WEEKDAY(S$16,2)=6,
IF($B23="Chan, Man Wai","HD",
IF($B23="Ng Suet Ping, Yoko","HD",
IF($B23="Li Mui Ying","HD1",
IF($B23="Huang Huanrao, Yoyo",IF(MOD(S$13,2)=1,"HD2",IFERROR(IF(SUMPRODUCT(($B$3:$AG$3=S$16)*($B$5:$AG$7=VLOOKUP($B23,'On call stat'!$S$3:$T$10,2,FALSE)))&gt;0,"D","DO"),"DO")),
IF($B23="Lee Ka Po, Kathy",IF(MOD(S$13,2)=0,"HD2",IFERROR(IF(SUMPRODUCT(($B$3:$AG$3=S$16)*($B$5:$AG$7=VLOOKUP($B23,'On call stat'!$S$3:$T$10,2,FALSE)))&gt;0,"D","DO"),"DO")),
IF($B23="Fan Hoi Wan, Ivy",IF(MOD(S$13,2)=0,"D",IFERROR(IF(SUMPRODUCT(($B$3:$AG$3=S$16)*($B$5:$AG$7=VLOOKUP($B23,'On call stat'!$S$3:$T$10,2,FALSE)))&gt;0,"D","DO"),"DO")),
IFERROR(IF(SUMPRODUCT(($B$3:$AG$3=S$16)*($B$5:$AG$7=VLOOKUP($B23,'On call stat'!$S$3:$T$10,2,FALSE)))&gt;0,"D","DO"),"DO"))))))),
IF($B23="Huang Huanrao, Yoyo",IF(MOD(S$13,2)=1,"D1","B6"),
IF($B23="Lee Ka Po, Kathy",IF(MOD(S$13,2)=0,"D1","B6"),
IFERROR(IF(SUMPRODUCT(($B$3:$AG$3=S$16)*($B$5:$AG$7=VLOOKUP($B23,'On call stat'!$S$3:$T$10,2,FALSE)))&gt;0,"E","D"),"D"))))))))</f>
        <v>AL</v>
      </c>
      <c r="T23" s="40" t="str">
        <f>IF(COUNTIF(PH!$A:$A,T$16)&gt;0,"PH",
IF(AND(SUMPRODUCT(($B$9:$AG$10=IFERROR(VLOOKUP($B23,'On call stat'!$S$3:$T$20,2,FALSE),""))*($B$3:$AG$3=T$16))&gt;0,OR(WEEKDAY(T$16,2)=6,),OR($B23="Chan, Man Wai",$B23="Ng Suet Ping, Yoko",$B23="Li Mui Ying",$B23="Lee Ka Po, Kathy",$B23="Huang Huanrao, Yoyo")),"HDAL",
IF(OR(WEEKDAY(T$16,2)=7,AND(WEEKDAY(T$16,2)=6,SUMPRODUCT(($B$9:$AG$10=IFERROR(VLOOKUP($B23,'On call stat'!$S$3:$T$20,2,FALSE),""))*($B$3:$AG$3=T$16))&gt;0)),"DO",
IF(SUMPRODUCT(($B$9:$AG$10=IFERROR(VLOOKUP($B23,'On call stat'!$S$3:$T$20,2,FALSE),""))*($B$3:$AG$3=T$16))&gt;0,"AL",
IF(WEEKDAY(T$16,2)=6,
IF($B23="Chan, Man Wai","HD",
IF($B23="Ng Suet Ping, Yoko","HD",
IF($B23="Li Mui Ying","HD1",
IF($B23="Huang Huanrao, Yoyo",IF(MOD(T$13,2)=1,"HD2",IFERROR(IF(SUMPRODUCT(($B$3:$AG$3=T$16)*($B$5:$AG$7=VLOOKUP($B23,'On call stat'!$S$3:$T$10,2,FALSE)))&gt;0,"D","DO"),"DO")),
IF($B23="Lee Ka Po, Kathy",IF(MOD(T$13,2)=0,"HD2",IFERROR(IF(SUMPRODUCT(($B$3:$AG$3=T$16)*($B$5:$AG$7=VLOOKUP($B23,'On call stat'!$S$3:$T$10,2,FALSE)))&gt;0,"D","DO"),"DO")),
IF($B23="Fan Hoi Wan, Ivy",IF(MOD(T$13,2)=0,"D",IFERROR(IF(SUMPRODUCT(($B$3:$AG$3=T$16)*($B$5:$AG$7=VLOOKUP($B23,'On call stat'!$S$3:$T$10,2,FALSE)))&gt;0,"D","DO"),"DO")),
IFERROR(IF(SUMPRODUCT(($B$3:$AG$3=T$16)*($B$5:$AG$7=VLOOKUP($B23,'On call stat'!$S$3:$T$10,2,FALSE)))&gt;0,"D","DO"),"DO"))))))),
IF($B23="Huang Huanrao, Yoyo",IF(MOD(T$13,2)=1,"D1","B6"),
IF($B23="Lee Ka Po, Kathy",IF(MOD(T$13,2)=0,"D1","B6"),
IFERROR(IF(SUMPRODUCT(($B$3:$AG$3=T$16)*($B$5:$AG$7=VLOOKUP($B23,'On call stat'!$S$3:$T$10,2,FALSE)))&gt;0,"E","D"),"D"))))))))</f>
        <v>AL</v>
      </c>
      <c r="U23" s="40" t="str">
        <f>IF(COUNTIF(PH!$A:$A,U$16)&gt;0,"PH",
IF(AND(SUMPRODUCT(($B$9:$AG$10=IFERROR(VLOOKUP($B23,'On call stat'!$S$3:$T$20,2,FALSE),""))*($B$3:$AG$3=U$16))&gt;0,OR(WEEKDAY(U$16,2)=6,),OR($B23="Chan, Man Wai",$B23="Ng Suet Ping, Yoko",$B23="Li Mui Ying",$B23="Lee Ka Po, Kathy",$B23="Huang Huanrao, Yoyo")),"HDAL",
IF(OR(WEEKDAY(U$16,2)=7,AND(WEEKDAY(U$16,2)=6,SUMPRODUCT(($B$9:$AG$10=IFERROR(VLOOKUP($B23,'On call stat'!$S$3:$T$20,2,FALSE),""))*($B$3:$AG$3=U$16))&gt;0)),"DO",
IF(SUMPRODUCT(($B$9:$AG$10=IFERROR(VLOOKUP($B23,'On call stat'!$S$3:$T$20,2,FALSE),""))*($B$3:$AG$3=U$16))&gt;0,"AL",
IF(WEEKDAY(U$16,2)=6,
IF($B23="Chan, Man Wai","HD",
IF($B23="Ng Suet Ping, Yoko","HD",
IF($B23="Li Mui Ying","HD1",
IF($B23="Huang Huanrao, Yoyo",IF(MOD(U$13,2)=1,"HD2",IFERROR(IF(SUMPRODUCT(($B$3:$AG$3=U$16)*($B$5:$AG$7=VLOOKUP($B23,'On call stat'!$S$3:$T$10,2,FALSE)))&gt;0,"D","DO"),"DO")),
IF($B23="Lee Ka Po, Kathy",IF(MOD(U$13,2)=0,"HD2",IFERROR(IF(SUMPRODUCT(($B$3:$AG$3=U$16)*($B$5:$AG$7=VLOOKUP($B23,'On call stat'!$S$3:$T$10,2,FALSE)))&gt;0,"D","DO"),"DO")),
IF($B23="Fan Hoi Wan, Ivy",IF(MOD(U$13,2)=0,"D",IFERROR(IF(SUMPRODUCT(($B$3:$AG$3=U$16)*($B$5:$AG$7=VLOOKUP($B23,'On call stat'!$S$3:$T$10,2,FALSE)))&gt;0,"D","DO"),"DO")),
IFERROR(IF(SUMPRODUCT(($B$3:$AG$3=U$16)*($B$5:$AG$7=VLOOKUP($B23,'On call stat'!$S$3:$T$10,2,FALSE)))&gt;0,"D","DO"),"DO"))))))),
IF($B23="Huang Huanrao, Yoyo",IF(MOD(U$13,2)=1,"D1","B6"),
IF($B23="Lee Ka Po, Kathy",IF(MOD(U$13,2)=0,"D1","B6"),
IFERROR(IF(SUMPRODUCT(($B$3:$AG$3=U$16)*($B$5:$AG$7=VLOOKUP($B23,'On call stat'!$S$3:$T$10,2,FALSE)))&gt;0,"E","D"),"D"))))))))</f>
        <v>DO</v>
      </c>
      <c r="V23" s="40" t="str">
        <f>IF(COUNTIF(PH!$A:$A,V$16)&gt;0,"PH",
IF(AND(SUMPRODUCT(($B$9:$AG$10=IFERROR(VLOOKUP($B23,'On call stat'!$S$3:$T$20,2,FALSE),""))*($B$3:$AG$3=V$16))&gt;0,OR(WEEKDAY(V$16,2)=6,),OR($B23="Chan, Man Wai",$B23="Ng Suet Ping, Yoko",$B23="Li Mui Ying",$B23="Lee Ka Po, Kathy",$B23="Huang Huanrao, Yoyo")),"HDAL",
IF(OR(WEEKDAY(V$16,2)=7,AND(WEEKDAY(V$16,2)=6,SUMPRODUCT(($B$9:$AG$10=IFERROR(VLOOKUP($B23,'On call stat'!$S$3:$T$20,2,FALSE),""))*($B$3:$AG$3=V$16))&gt;0)),"DO",
IF(SUMPRODUCT(($B$9:$AG$10=IFERROR(VLOOKUP($B23,'On call stat'!$S$3:$T$20,2,FALSE),""))*($B$3:$AG$3=V$16))&gt;0,"AL",
IF(WEEKDAY(V$16,2)=6,
IF($B23="Chan, Man Wai","HD",
IF($B23="Ng Suet Ping, Yoko","HD",
IF($B23="Li Mui Ying","HD1",
IF($B23="Huang Huanrao, Yoyo",IF(MOD(V$13,2)=1,"HD2",IFERROR(IF(SUMPRODUCT(($B$3:$AG$3=V$16)*($B$5:$AG$7=VLOOKUP($B23,'On call stat'!$S$3:$T$10,2,FALSE)))&gt;0,"D","DO"),"DO")),
IF($B23="Lee Ka Po, Kathy",IF(MOD(V$13,2)=0,"HD2",IFERROR(IF(SUMPRODUCT(($B$3:$AG$3=V$16)*($B$5:$AG$7=VLOOKUP($B23,'On call stat'!$S$3:$T$10,2,FALSE)))&gt;0,"D","DO"),"DO")),
IF($B23="Fan Hoi Wan, Ivy",IF(MOD(V$13,2)=0,"D",IFERROR(IF(SUMPRODUCT(($B$3:$AG$3=V$16)*($B$5:$AG$7=VLOOKUP($B23,'On call stat'!$S$3:$T$10,2,FALSE)))&gt;0,"D","DO"),"DO")),
IFERROR(IF(SUMPRODUCT(($B$3:$AG$3=V$16)*($B$5:$AG$7=VLOOKUP($B23,'On call stat'!$S$3:$T$10,2,FALSE)))&gt;0,"D","DO"),"DO"))))))),
IF($B23="Huang Huanrao, Yoyo",IF(MOD(V$13,2)=1,"D1","B6"),
IF($B23="Lee Ka Po, Kathy",IF(MOD(V$13,2)=0,"D1","B6"),
IFERROR(IF(SUMPRODUCT(($B$3:$AG$3=V$16)*($B$5:$AG$7=VLOOKUP($B23,'On call stat'!$S$3:$T$10,2,FALSE)))&gt;0,"E","D"),"D"))))))))</f>
        <v>DO</v>
      </c>
      <c r="W23" s="40" t="str">
        <f>IF(COUNTIF(PH!$A:$A,W$16)&gt;0,"PH",
IF(AND(SUMPRODUCT(($B$9:$AG$10=IFERROR(VLOOKUP($B23,'On call stat'!$S$3:$T$20,2,FALSE),""))*($B$3:$AG$3=W$16))&gt;0,OR(WEEKDAY(W$16,2)=6,),OR($B23="Chan, Man Wai",$B23="Ng Suet Ping, Yoko",$B23="Li Mui Ying",$B23="Lee Ka Po, Kathy",$B23="Huang Huanrao, Yoyo")),"HDAL",
IF(OR(WEEKDAY(W$16,2)=7,AND(WEEKDAY(W$16,2)=6,SUMPRODUCT(($B$9:$AG$10=IFERROR(VLOOKUP($B23,'On call stat'!$S$3:$T$20,2,FALSE),""))*($B$3:$AG$3=W$16))&gt;0)),"DO",
IF(SUMPRODUCT(($B$9:$AG$10=IFERROR(VLOOKUP($B23,'On call stat'!$S$3:$T$20,2,FALSE),""))*($B$3:$AG$3=W$16))&gt;0,"AL",
IF(WEEKDAY(W$16,2)=6,
IF($B23="Chan, Man Wai","HD",
IF($B23="Ng Suet Ping, Yoko","HD",
IF($B23="Li Mui Ying","HD1",
IF($B23="Huang Huanrao, Yoyo",IF(MOD(W$13,2)=1,"HD2",IFERROR(IF(SUMPRODUCT(($B$3:$AG$3=W$16)*($B$5:$AG$7=VLOOKUP($B23,'On call stat'!$S$3:$T$10,2,FALSE)))&gt;0,"D","DO"),"DO")),
IF($B23="Lee Ka Po, Kathy",IF(MOD(W$13,2)=0,"HD2",IFERROR(IF(SUMPRODUCT(($B$3:$AG$3=W$16)*($B$5:$AG$7=VLOOKUP($B23,'On call stat'!$S$3:$T$10,2,FALSE)))&gt;0,"D","DO"),"DO")),
IF($B23="Fan Hoi Wan, Ivy",IF(MOD(W$13,2)=0,"D",IFERROR(IF(SUMPRODUCT(($B$3:$AG$3=W$16)*($B$5:$AG$7=VLOOKUP($B23,'On call stat'!$S$3:$T$10,2,FALSE)))&gt;0,"D","DO"),"DO")),
IFERROR(IF(SUMPRODUCT(($B$3:$AG$3=W$16)*($B$5:$AG$7=VLOOKUP($B23,'On call stat'!$S$3:$T$10,2,FALSE)))&gt;0,"D","DO"),"DO"))))))),
IF($B23="Huang Huanrao, Yoyo",IF(MOD(W$13,2)=1,"D1","B6"),
IF($B23="Lee Ka Po, Kathy",IF(MOD(W$13,2)=0,"D1","B6"),
IFERROR(IF(SUMPRODUCT(($B$3:$AG$3=W$16)*($B$5:$AG$7=VLOOKUP($B23,'On call stat'!$S$3:$T$10,2,FALSE)))&gt;0,"E","D"),"D"))))))))</f>
        <v>E</v>
      </c>
      <c r="X23" s="40" t="str">
        <f>IF(COUNTIF(PH!$A:$A,X$16)&gt;0,"PH",
IF(AND(SUMPRODUCT(($B$9:$AG$10=IFERROR(VLOOKUP($B23,'On call stat'!$S$3:$T$20,2,FALSE),""))*($B$3:$AG$3=X$16))&gt;0,OR(WEEKDAY(X$16,2)=6,),OR($B23="Chan, Man Wai",$B23="Ng Suet Ping, Yoko",$B23="Li Mui Ying",$B23="Lee Ka Po, Kathy",$B23="Huang Huanrao, Yoyo")),"HDAL",
IF(OR(WEEKDAY(X$16,2)=7,AND(WEEKDAY(X$16,2)=6,SUMPRODUCT(($B$9:$AG$10=IFERROR(VLOOKUP($B23,'On call stat'!$S$3:$T$20,2,FALSE),""))*($B$3:$AG$3=X$16))&gt;0)),"DO",
IF(SUMPRODUCT(($B$9:$AG$10=IFERROR(VLOOKUP($B23,'On call stat'!$S$3:$T$20,2,FALSE),""))*($B$3:$AG$3=X$16))&gt;0,"AL",
IF(WEEKDAY(X$16,2)=6,
IF($B23="Chan, Man Wai","HD",
IF($B23="Ng Suet Ping, Yoko","HD",
IF($B23="Li Mui Ying","HD1",
IF($B23="Huang Huanrao, Yoyo",IF(MOD(X$13,2)=1,"HD2",IFERROR(IF(SUMPRODUCT(($B$3:$AG$3=X$16)*($B$5:$AG$7=VLOOKUP($B23,'On call stat'!$S$3:$T$10,2,FALSE)))&gt;0,"D","DO"),"DO")),
IF($B23="Lee Ka Po, Kathy",IF(MOD(X$13,2)=0,"HD2",IFERROR(IF(SUMPRODUCT(($B$3:$AG$3=X$16)*($B$5:$AG$7=VLOOKUP($B23,'On call stat'!$S$3:$T$10,2,FALSE)))&gt;0,"D","DO"),"DO")),
IF($B23="Fan Hoi Wan, Ivy",IF(MOD(X$13,2)=0,"D",IFERROR(IF(SUMPRODUCT(($B$3:$AG$3=X$16)*($B$5:$AG$7=VLOOKUP($B23,'On call stat'!$S$3:$T$10,2,FALSE)))&gt;0,"D","DO"),"DO")),
IFERROR(IF(SUMPRODUCT(($B$3:$AG$3=X$16)*($B$5:$AG$7=VLOOKUP($B23,'On call stat'!$S$3:$T$10,2,FALSE)))&gt;0,"D","DO"),"DO"))))))),
IF($B23="Huang Huanrao, Yoyo",IF(MOD(X$13,2)=1,"D1","B6"),
IF($B23="Lee Ka Po, Kathy",IF(MOD(X$13,2)=0,"D1","B6"),
IFERROR(IF(SUMPRODUCT(($B$3:$AG$3=X$16)*($B$5:$AG$7=VLOOKUP($B23,'On call stat'!$S$3:$T$10,2,FALSE)))&gt;0,"E","D"),"D"))))))))</f>
        <v>E</v>
      </c>
      <c r="Y23" s="40" t="str">
        <f>IF(COUNTIF(PH!$A:$A,Y$16)&gt;0,"PH",
IF(AND(SUMPRODUCT(($B$9:$AG$10=IFERROR(VLOOKUP($B23,'On call stat'!$S$3:$T$20,2,FALSE),""))*($B$3:$AG$3=Y$16))&gt;0,OR(WEEKDAY(Y$16,2)=6,),OR($B23="Chan, Man Wai",$B23="Ng Suet Ping, Yoko",$B23="Li Mui Ying",$B23="Lee Ka Po, Kathy",$B23="Huang Huanrao, Yoyo")),"HDAL",
IF(OR(WEEKDAY(Y$16,2)=7,AND(WEEKDAY(Y$16,2)=6,SUMPRODUCT(($B$9:$AG$10=IFERROR(VLOOKUP($B23,'On call stat'!$S$3:$T$20,2,FALSE),""))*($B$3:$AG$3=Y$16))&gt;0)),"DO",
IF(SUMPRODUCT(($B$9:$AG$10=IFERROR(VLOOKUP($B23,'On call stat'!$S$3:$T$20,2,FALSE),""))*($B$3:$AG$3=Y$16))&gt;0,"AL",
IF(WEEKDAY(Y$16,2)=6,
IF($B23="Chan, Man Wai","HD",
IF($B23="Ng Suet Ping, Yoko","HD",
IF($B23="Li Mui Ying","HD1",
IF($B23="Huang Huanrao, Yoyo",IF(MOD(Y$13,2)=1,"HD2",IFERROR(IF(SUMPRODUCT(($B$3:$AG$3=Y$16)*($B$5:$AG$7=VLOOKUP($B23,'On call stat'!$S$3:$T$10,2,FALSE)))&gt;0,"D","DO"),"DO")),
IF($B23="Lee Ka Po, Kathy",IF(MOD(Y$13,2)=0,"HD2",IFERROR(IF(SUMPRODUCT(($B$3:$AG$3=Y$16)*($B$5:$AG$7=VLOOKUP($B23,'On call stat'!$S$3:$T$10,2,FALSE)))&gt;0,"D","DO"),"DO")),
IF($B23="Fan Hoi Wan, Ivy",IF(MOD(Y$13,2)=0,"D",IFERROR(IF(SUMPRODUCT(($B$3:$AG$3=Y$16)*($B$5:$AG$7=VLOOKUP($B23,'On call stat'!$S$3:$T$10,2,FALSE)))&gt;0,"D","DO"),"DO")),
IFERROR(IF(SUMPRODUCT(($B$3:$AG$3=Y$16)*($B$5:$AG$7=VLOOKUP($B23,'On call stat'!$S$3:$T$10,2,FALSE)))&gt;0,"D","DO"),"DO"))))))),
IF($B23="Huang Huanrao, Yoyo",IF(MOD(Y$13,2)=1,"D1","B6"),
IF($B23="Lee Ka Po, Kathy",IF(MOD(Y$13,2)=0,"D1","B6"),
IFERROR(IF(SUMPRODUCT(($B$3:$AG$3=Y$16)*($B$5:$AG$7=VLOOKUP($B23,'On call stat'!$S$3:$T$10,2,FALSE)))&gt;0,"E","D"),"D"))))))))</f>
        <v>E</v>
      </c>
      <c r="Z23" s="40" t="str">
        <f>IF(COUNTIF(PH!$A:$A,Z$16)&gt;0,"PH",
IF(AND(SUMPRODUCT(($B$9:$AG$10=IFERROR(VLOOKUP($B23,'On call stat'!$S$3:$T$20,2,FALSE),""))*($B$3:$AG$3=Z$16))&gt;0,OR(WEEKDAY(Z$16,2)=6,),OR($B23="Chan, Man Wai",$B23="Ng Suet Ping, Yoko",$B23="Li Mui Ying",$B23="Lee Ka Po, Kathy",$B23="Huang Huanrao, Yoyo")),"HDAL",
IF(OR(WEEKDAY(Z$16,2)=7,AND(WEEKDAY(Z$16,2)=6,SUMPRODUCT(($B$9:$AG$10=IFERROR(VLOOKUP($B23,'On call stat'!$S$3:$T$20,2,FALSE),""))*($B$3:$AG$3=Z$16))&gt;0)),"DO",
IF(SUMPRODUCT(($B$9:$AG$10=IFERROR(VLOOKUP($B23,'On call stat'!$S$3:$T$20,2,FALSE),""))*($B$3:$AG$3=Z$16))&gt;0,"AL",
IF(WEEKDAY(Z$16,2)=6,
IF($B23="Chan, Man Wai","HD",
IF($B23="Ng Suet Ping, Yoko","HD",
IF($B23="Li Mui Ying","HD1",
IF($B23="Huang Huanrao, Yoyo",IF(MOD(Z$13,2)=1,"HD2",IFERROR(IF(SUMPRODUCT(($B$3:$AG$3=Z$16)*($B$5:$AG$7=VLOOKUP($B23,'On call stat'!$S$3:$T$10,2,FALSE)))&gt;0,"D","DO"),"DO")),
IF($B23="Lee Ka Po, Kathy",IF(MOD(Z$13,2)=0,"HD2",IFERROR(IF(SUMPRODUCT(($B$3:$AG$3=Z$16)*($B$5:$AG$7=VLOOKUP($B23,'On call stat'!$S$3:$T$10,2,FALSE)))&gt;0,"D","DO"),"DO")),
IF($B23="Fan Hoi Wan, Ivy",IF(MOD(Z$13,2)=0,"D",IFERROR(IF(SUMPRODUCT(($B$3:$AG$3=Z$16)*($B$5:$AG$7=VLOOKUP($B23,'On call stat'!$S$3:$T$10,2,FALSE)))&gt;0,"D","DO"),"DO")),
IFERROR(IF(SUMPRODUCT(($B$3:$AG$3=Z$16)*($B$5:$AG$7=VLOOKUP($B23,'On call stat'!$S$3:$T$10,2,FALSE)))&gt;0,"D","DO"),"DO"))))))),
IF($B23="Huang Huanrao, Yoyo",IF(MOD(Z$13,2)=1,"D1","B6"),
IF($B23="Lee Ka Po, Kathy",IF(MOD(Z$13,2)=0,"D1","B6"),
IFERROR(IF(SUMPRODUCT(($B$3:$AG$3=Z$16)*($B$5:$AG$7=VLOOKUP($B23,'On call stat'!$S$3:$T$10,2,FALSE)))&gt;0,"E","D"),"D"))))))))</f>
        <v>E</v>
      </c>
      <c r="AA23" s="40" t="str">
        <f>IF(COUNTIF(PH!$A:$A,AA$16)&gt;0,"PH",
IF(AND(SUMPRODUCT(($B$9:$AG$10=IFERROR(VLOOKUP($B23,'On call stat'!$S$3:$T$20,2,FALSE),""))*($B$3:$AG$3=AA$16))&gt;0,OR(WEEKDAY(AA$16,2)=6,),OR($B23="Chan, Man Wai",$B23="Ng Suet Ping, Yoko",$B23="Li Mui Ying",$B23="Lee Ka Po, Kathy",$B23="Huang Huanrao, Yoyo")),"HDAL",
IF(OR(WEEKDAY(AA$16,2)=7,AND(WEEKDAY(AA$16,2)=6,SUMPRODUCT(($B$9:$AG$10=IFERROR(VLOOKUP($B23,'On call stat'!$S$3:$T$20,2,FALSE),""))*($B$3:$AG$3=AA$16))&gt;0)),"DO",
IF(SUMPRODUCT(($B$9:$AG$10=IFERROR(VLOOKUP($B23,'On call stat'!$S$3:$T$20,2,FALSE),""))*($B$3:$AG$3=AA$16))&gt;0,"AL",
IF(WEEKDAY(AA$16,2)=6,
IF($B23="Chan, Man Wai","HD",
IF($B23="Ng Suet Ping, Yoko","HD",
IF($B23="Li Mui Ying","HD1",
IF($B23="Huang Huanrao, Yoyo",IF(MOD(AA$13,2)=1,"HD2",IFERROR(IF(SUMPRODUCT(($B$3:$AG$3=AA$16)*($B$5:$AG$7=VLOOKUP($B23,'On call stat'!$S$3:$T$10,2,FALSE)))&gt;0,"D","DO"),"DO")),
IF($B23="Lee Ka Po, Kathy",IF(MOD(AA$13,2)=0,"HD2",IFERROR(IF(SUMPRODUCT(($B$3:$AG$3=AA$16)*($B$5:$AG$7=VLOOKUP($B23,'On call stat'!$S$3:$T$10,2,FALSE)))&gt;0,"D","DO"),"DO")),
IF($B23="Fan Hoi Wan, Ivy",IF(MOD(AA$13,2)=0,"D",IFERROR(IF(SUMPRODUCT(($B$3:$AG$3=AA$16)*($B$5:$AG$7=VLOOKUP($B23,'On call stat'!$S$3:$T$10,2,FALSE)))&gt;0,"D","DO"),"DO")),
IFERROR(IF(SUMPRODUCT(($B$3:$AG$3=AA$16)*($B$5:$AG$7=VLOOKUP($B23,'On call stat'!$S$3:$T$10,2,FALSE)))&gt;0,"D","DO"),"DO"))))))),
IF($B23="Huang Huanrao, Yoyo",IF(MOD(AA$13,2)=1,"D1","B6"),
IF($B23="Lee Ka Po, Kathy",IF(MOD(AA$13,2)=0,"D1","B6"),
IFERROR(IF(SUMPRODUCT(($B$3:$AG$3=AA$16)*($B$5:$AG$7=VLOOKUP($B23,'On call stat'!$S$3:$T$10,2,FALSE)))&gt;0,"E","D"),"D"))))))))</f>
        <v>PH</v>
      </c>
      <c r="AB23" s="40" t="str">
        <f>IF(COUNTIF(PH!$A:$A,AB$16)&gt;0,"PH",
IF(AND(SUMPRODUCT(($B$9:$AG$10=IFERROR(VLOOKUP($B23,'On call stat'!$S$3:$T$20,2,FALSE),""))*($B$3:$AG$3=AB$16))&gt;0,OR(WEEKDAY(AB$16,2)=6,),OR($B23="Chan, Man Wai",$B23="Ng Suet Ping, Yoko",$B23="Li Mui Ying",$B23="Lee Ka Po, Kathy",$B23="Huang Huanrao, Yoyo")),"HDAL",
IF(OR(WEEKDAY(AB$16,2)=7,AND(WEEKDAY(AB$16,2)=6,SUMPRODUCT(($B$9:$AG$10=IFERROR(VLOOKUP($B23,'On call stat'!$S$3:$T$20,2,FALSE),""))*($B$3:$AG$3=AB$16))&gt;0)),"DO",
IF(SUMPRODUCT(($B$9:$AG$10=IFERROR(VLOOKUP($B23,'On call stat'!$S$3:$T$20,2,FALSE),""))*($B$3:$AG$3=AB$16))&gt;0,"AL",
IF(WEEKDAY(AB$16,2)=6,
IF($B23="Chan, Man Wai","HD",
IF($B23="Ng Suet Ping, Yoko","HD",
IF($B23="Li Mui Ying","HD1",
IF($B23="Huang Huanrao, Yoyo",IF(MOD(AB$13,2)=1,"HD2",IFERROR(IF(SUMPRODUCT(($B$3:$AG$3=AB$16)*($B$5:$AG$7=VLOOKUP($B23,'On call stat'!$S$3:$T$10,2,FALSE)))&gt;0,"D","DO"),"DO")),
IF($B23="Lee Ka Po, Kathy",IF(MOD(AB$13,2)=0,"HD2",IFERROR(IF(SUMPRODUCT(($B$3:$AG$3=AB$16)*($B$5:$AG$7=VLOOKUP($B23,'On call stat'!$S$3:$T$10,2,FALSE)))&gt;0,"D","DO"),"DO")),
IF($B23="Fan Hoi Wan, Ivy",IF(MOD(AB$13,2)=0,"D",IFERROR(IF(SUMPRODUCT(($B$3:$AG$3=AB$16)*($B$5:$AG$7=VLOOKUP($B23,'On call stat'!$S$3:$T$10,2,FALSE)))&gt;0,"D","DO"),"DO")),
IFERROR(IF(SUMPRODUCT(($B$3:$AG$3=AB$16)*($B$5:$AG$7=VLOOKUP($B23,'On call stat'!$S$3:$T$10,2,FALSE)))&gt;0,"D","DO"),"DO"))))))),
IF($B23="Huang Huanrao, Yoyo",IF(MOD(AB$13,2)=1,"D1","B6"),
IF($B23="Lee Ka Po, Kathy",IF(MOD(AB$13,2)=0,"D1","B6"),
IFERROR(IF(SUMPRODUCT(($B$3:$AG$3=AB$16)*($B$5:$AG$7=VLOOKUP($B23,'On call stat'!$S$3:$T$10,2,FALSE)))&gt;0,"E","D"),"D"))))))))</f>
        <v>PH</v>
      </c>
      <c r="AC23" s="40" t="str">
        <f>IF(COUNTIF(PH!$A:$A,AC$16)&gt;0,"PH",
IF(AND(SUMPRODUCT(($B$9:$AG$10=IFERROR(VLOOKUP($B23,'On call stat'!$S$3:$T$20,2,FALSE),""))*($B$3:$AG$3=AC$16))&gt;0,OR(WEEKDAY(AC$16,2)=6,),OR($B23="Chan, Man Wai",$B23="Ng Suet Ping, Yoko",$B23="Li Mui Ying",$B23="Lee Ka Po, Kathy",$B23="Huang Huanrao, Yoyo")),"HDAL",
IF(OR(WEEKDAY(AC$16,2)=7,AND(WEEKDAY(AC$16,2)=6,SUMPRODUCT(($B$9:$AG$10=IFERROR(VLOOKUP($B23,'On call stat'!$S$3:$T$20,2,FALSE),""))*($B$3:$AG$3=AC$16))&gt;0)),"DO",
IF(SUMPRODUCT(($B$9:$AG$10=IFERROR(VLOOKUP($B23,'On call stat'!$S$3:$T$20,2,FALSE),""))*($B$3:$AG$3=AC$16))&gt;0,"AL",
IF(WEEKDAY(AC$16,2)=6,
IF($B23="Chan, Man Wai","HD",
IF($B23="Ng Suet Ping, Yoko","HD",
IF($B23="Li Mui Ying","HD1",
IF($B23="Huang Huanrao, Yoyo",IF(MOD(AC$13,2)=1,"HD2",IFERROR(IF(SUMPRODUCT(($B$3:$AG$3=AC$16)*($B$5:$AG$7=VLOOKUP($B23,'On call stat'!$S$3:$T$10,2,FALSE)))&gt;0,"D","DO"),"DO")),
IF($B23="Lee Ka Po, Kathy",IF(MOD(AC$13,2)=0,"HD2",IFERROR(IF(SUMPRODUCT(($B$3:$AG$3=AC$16)*($B$5:$AG$7=VLOOKUP($B23,'On call stat'!$S$3:$T$10,2,FALSE)))&gt;0,"D","DO"),"DO")),
IF($B23="Fan Hoi Wan, Ivy",IF(MOD(AC$13,2)=0,"D",IFERROR(IF(SUMPRODUCT(($B$3:$AG$3=AC$16)*($B$5:$AG$7=VLOOKUP($B23,'On call stat'!$S$3:$T$10,2,FALSE)))&gt;0,"D","DO"),"DO")),
IFERROR(IF(SUMPRODUCT(($B$3:$AG$3=AC$16)*($B$5:$AG$7=VLOOKUP($B23,'On call stat'!$S$3:$T$10,2,FALSE)))&gt;0,"D","DO"),"DO"))))))),
IF($B23="Huang Huanrao, Yoyo",IF(MOD(AC$13,2)=1,"D1","B6"),
IF($B23="Lee Ka Po, Kathy",IF(MOD(AC$13,2)=0,"D1","B6"),
IFERROR(IF(SUMPRODUCT(($B$3:$AG$3=AC$16)*($B$5:$AG$7=VLOOKUP($B23,'On call stat'!$S$3:$T$10,2,FALSE)))&gt;0,"E","D"),"D"))))))))</f>
        <v>DO</v>
      </c>
      <c r="AD23" s="40" t="str">
        <f>IF(COUNTIF(PH!$A:$A,AD$16)&gt;0,"PH",
IF(AND(SUMPRODUCT(($B$9:$AG$10=IFERROR(VLOOKUP($B23,'On call stat'!$S$3:$T$20,2,FALSE),""))*($B$3:$AG$3=AD$16))&gt;0,OR(WEEKDAY(AD$16,2)=6,),OR($B23="Chan, Man Wai",$B23="Ng Suet Ping, Yoko",$B23="Li Mui Ying",$B23="Lee Ka Po, Kathy",$B23="Huang Huanrao, Yoyo")),"HDAL",
IF(OR(WEEKDAY(AD$16,2)=7,AND(WEEKDAY(AD$16,2)=6,SUMPRODUCT(($B$9:$AG$10=IFERROR(VLOOKUP($B23,'On call stat'!$S$3:$T$20,2,FALSE),""))*($B$3:$AG$3=AD$16))&gt;0)),"DO",
IF(SUMPRODUCT(($B$9:$AG$10=IFERROR(VLOOKUP($B23,'On call stat'!$S$3:$T$20,2,FALSE),""))*($B$3:$AG$3=AD$16))&gt;0,"AL",
IF(WEEKDAY(AD$16,2)=6,
IF($B23="Chan, Man Wai","HD",
IF($B23="Ng Suet Ping, Yoko","HD",
IF($B23="Li Mui Ying","HD1",
IF($B23="Huang Huanrao, Yoyo",IF(MOD(AD$13,2)=1,"HD2",IFERROR(IF(SUMPRODUCT(($B$3:$AG$3=AD$16)*($B$5:$AG$7=VLOOKUP($B23,'On call stat'!$S$3:$T$10,2,FALSE)))&gt;0,"D","DO"),"DO")),
IF($B23="Lee Ka Po, Kathy",IF(MOD(AD$13,2)=0,"HD2",IFERROR(IF(SUMPRODUCT(($B$3:$AG$3=AD$16)*($B$5:$AG$7=VLOOKUP($B23,'On call stat'!$S$3:$T$10,2,FALSE)))&gt;0,"D","DO"),"DO")),
IF($B23="Fan Hoi Wan, Ivy",IF(MOD(AD$13,2)=0,"D",IFERROR(IF(SUMPRODUCT(($B$3:$AG$3=AD$16)*($B$5:$AG$7=VLOOKUP($B23,'On call stat'!$S$3:$T$10,2,FALSE)))&gt;0,"D","DO"),"DO")),
IFERROR(IF(SUMPRODUCT(($B$3:$AG$3=AD$16)*($B$5:$AG$7=VLOOKUP($B23,'On call stat'!$S$3:$T$10,2,FALSE)))&gt;0,"D","DO"),"DO"))))))),
IF($B23="Huang Huanrao, Yoyo",IF(MOD(AD$13,2)=1,"D1","B6"),
IF($B23="Lee Ka Po, Kathy",IF(MOD(AD$13,2)=0,"D1","B6"),
IFERROR(IF(SUMPRODUCT(($B$3:$AG$3=AD$16)*($B$5:$AG$7=VLOOKUP($B23,'On call stat'!$S$3:$T$10,2,FALSE)))&gt;0,"E","D"),"D"))))))))</f>
        <v>D</v>
      </c>
      <c r="AE23" s="40" t="str">
        <f>IF(COUNTIF(PH!$A:$A,AE$16)&gt;0,"PH",
IF(AND(SUMPRODUCT(($B$9:$AG$10=IFERROR(VLOOKUP($B23,'On call stat'!$S$3:$T$20,2,FALSE),""))*($B$3:$AG$3=AE$16))&gt;0,OR(WEEKDAY(AE$16,2)=6,),OR($B23="Chan, Man Wai",$B23="Ng Suet Ping, Yoko",$B23="Li Mui Ying",$B23="Lee Ka Po, Kathy",$B23="Huang Huanrao, Yoyo")),"HDAL",
IF(OR(WEEKDAY(AE$16,2)=7,AND(WEEKDAY(AE$16,2)=6,SUMPRODUCT(($B$9:$AG$10=IFERROR(VLOOKUP($B23,'On call stat'!$S$3:$T$20,2,FALSE),""))*($B$3:$AG$3=AE$16))&gt;0)),"DO",
IF(SUMPRODUCT(($B$9:$AG$10=IFERROR(VLOOKUP($B23,'On call stat'!$S$3:$T$20,2,FALSE),""))*($B$3:$AG$3=AE$16))&gt;0,"AL",
IF(WEEKDAY(AE$16,2)=6,
IF($B23="Chan, Man Wai","HD",
IF($B23="Ng Suet Ping, Yoko","HD",
IF($B23="Li Mui Ying","HD1",
IF($B23="Huang Huanrao, Yoyo",IF(MOD(AE$13,2)=1,"HD2",IFERROR(IF(SUMPRODUCT(($B$3:$AG$3=AE$16)*($B$5:$AG$7=VLOOKUP($B23,'On call stat'!$S$3:$T$10,2,FALSE)))&gt;0,"D","DO"),"DO")),
IF($B23="Lee Ka Po, Kathy",IF(MOD(AE$13,2)=0,"HD2",IFERROR(IF(SUMPRODUCT(($B$3:$AG$3=AE$16)*($B$5:$AG$7=VLOOKUP($B23,'On call stat'!$S$3:$T$10,2,FALSE)))&gt;0,"D","DO"),"DO")),
IF($B23="Fan Hoi Wan, Ivy",IF(MOD(AE$13,2)=0,"D",IFERROR(IF(SUMPRODUCT(($B$3:$AG$3=AE$16)*($B$5:$AG$7=VLOOKUP($B23,'On call stat'!$S$3:$T$10,2,FALSE)))&gt;0,"D","DO"),"DO")),
IFERROR(IF(SUMPRODUCT(($B$3:$AG$3=AE$16)*($B$5:$AG$7=VLOOKUP($B23,'On call stat'!$S$3:$T$10,2,FALSE)))&gt;0,"D","DO"),"DO"))))))),
IF($B23="Huang Huanrao, Yoyo",IF(MOD(AE$13,2)=1,"D1","B6"),
IF($B23="Lee Ka Po, Kathy",IF(MOD(AE$13,2)=0,"D1","B6"),
IFERROR(IF(SUMPRODUCT(($B$3:$AG$3=AE$16)*($B$5:$AG$7=VLOOKUP($B23,'On call stat'!$S$3:$T$10,2,FALSE)))&gt;0,"E","D"),"D"))))))))</f>
        <v>D</v>
      </c>
      <c r="AF23" s="40" t="str">
        <f>IF(COUNTIF(PH!$A:$A,AF$16)&gt;0,"PH",
IF(AND(SUMPRODUCT(($B$9:$AG$10=IFERROR(VLOOKUP($B23,'On call stat'!$S$3:$T$20,2,FALSE),""))*($B$3:$AG$3=AF$16))&gt;0,OR(WEEKDAY(AF$16,2)=6,),OR($B23="Chan, Man Wai",$B23="Ng Suet Ping, Yoko",$B23="Li Mui Ying",$B23="Lee Ka Po, Kathy",$B23="Huang Huanrao, Yoyo")),"HDAL",
IF(OR(WEEKDAY(AF$16,2)=7,AND(WEEKDAY(AF$16,2)=6,SUMPRODUCT(($B$9:$AG$10=IFERROR(VLOOKUP($B23,'On call stat'!$S$3:$T$20,2,FALSE),""))*($B$3:$AG$3=AF$16))&gt;0)),"DO",
IF(SUMPRODUCT(($B$9:$AG$10=IFERROR(VLOOKUP($B23,'On call stat'!$S$3:$T$20,2,FALSE),""))*($B$3:$AG$3=AF$16))&gt;0,"AL",
IF(WEEKDAY(AF$16,2)=6,
IF($B23="Chan, Man Wai","HD",
IF($B23="Ng Suet Ping, Yoko","HD",
IF($B23="Li Mui Ying","HD1",
IF($B23="Huang Huanrao, Yoyo",IF(MOD(AF$13,2)=1,"HD2",IFERROR(IF(SUMPRODUCT(($B$3:$AG$3=AF$16)*($B$5:$AG$7=VLOOKUP($B23,'On call stat'!$S$3:$T$10,2,FALSE)))&gt;0,"D","DO"),"DO")),
IF($B23="Lee Ka Po, Kathy",IF(MOD(AF$13,2)=0,"HD2",IFERROR(IF(SUMPRODUCT(($B$3:$AG$3=AF$16)*($B$5:$AG$7=VLOOKUP($B23,'On call stat'!$S$3:$T$10,2,FALSE)))&gt;0,"D","DO"),"DO")),
IF($B23="Fan Hoi Wan, Ivy",IF(MOD(AF$13,2)=0,"D",IFERROR(IF(SUMPRODUCT(($B$3:$AG$3=AF$16)*($B$5:$AG$7=VLOOKUP($B23,'On call stat'!$S$3:$T$10,2,FALSE)))&gt;0,"D","DO"),"DO")),
IFERROR(IF(SUMPRODUCT(($B$3:$AG$3=AF$16)*($B$5:$AG$7=VLOOKUP($B23,'On call stat'!$S$3:$T$10,2,FALSE)))&gt;0,"D","DO"),"DO"))))))),
IF($B23="Huang Huanrao, Yoyo",IF(MOD(AF$13,2)=1,"D1","B6"),
IF($B23="Lee Ka Po, Kathy",IF(MOD(AF$13,2)=0,"D1","B6"),
IFERROR(IF(SUMPRODUCT(($B$3:$AG$3=AF$16)*($B$5:$AG$7=VLOOKUP($B23,'On call stat'!$S$3:$T$10,2,FALSE)))&gt;0,"E","D"),"D"))))))))</f>
        <v>D</v>
      </c>
      <c r="AG23" s="40" t="str">
        <f>IF(COUNTIF(PH!$A:$A,AG$16)&gt;0,"PH",
IF(AND(SUMPRODUCT(($B$9:$AG$10=IFERROR(VLOOKUP($B23,'On call stat'!$S$3:$T$20,2,FALSE),""))*($B$3:$AG$3=AG$16))&gt;0,OR(WEEKDAY(AG$16,2)=6,),OR($B23="Chan, Man Wai",$B23="Ng Suet Ping, Yoko",$B23="Li Mui Ying",$B23="Lee Ka Po, Kathy",$B23="Huang Huanrao, Yoyo")),"HDAL",
IF(OR(WEEKDAY(AG$16,2)=7,AND(WEEKDAY(AG$16,2)=6,SUMPRODUCT(($B$9:$AG$10=IFERROR(VLOOKUP($B23,'On call stat'!$S$3:$T$20,2,FALSE),""))*($B$3:$AG$3=AG$16))&gt;0)),"DO",
IF(SUMPRODUCT(($B$9:$AG$10=IFERROR(VLOOKUP($B23,'On call stat'!$S$3:$T$20,2,FALSE),""))*($B$3:$AG$3=AG$16))&gt;0,"AL",
IF(WEEKDAY(AG$16,2)=6,
IF($B23="Chan, Man Wai","HD",
IF($B23="Ng Suet Ping, Yoko","HD",
IF($B23="Li Mui Ying","HD1",
IF($B23="Huang Huanrao, Yoyo",IF(MOD(AG$13,2)=1,"HD2",IFERROR(IF(SUMPRODUCT(($B$3:$AG$3=AG$16)*($B$5:$AG$7=VLOOKUP($B23,'On call stat'!$S$3:$T$10,2,FALSE)))&gt;0,"D","DO"),"DO")),
IF($B23="Lee Ka Po, Kathy",IF(MOD(AG$13,2)=0,"HD2",IFERROR(IF(SUMPRODUCT(($B$3:$AG$3=AG$16)*($B$5:$AG$7=VLOOKUP($B23,'On call stat'!$S$3:$T$10,2,FALSE)))&gt;0,"D","DO"),"DO")),
IF($B23="Fan Hoi Wan, Ivy",IF(MOD(AG$13,2)=0,"D",IFERROR(IF(SUMPRODUCT(($B$3:$AG$3=AG$16)*($B$5:$AG$7=VLOOKUP($B23,'On call stat'!$S$3:$T$10,2,FALSE)))&gt;0,"D","DO"),"DO")),
IFERROR(IF(SUMPRODUCT(($B$3:$AG$3=AG$16)*($B$5:$AG$7=VLOOKUP($B23,'On call stat'!$S$3:$T$10,2,FALSE)))&gt;0,"D","DO"),"DO"))))))),
IF($B23="Huang Huanrao, Yoyo",IF(MOD(AG$13,2)=1,"D1","B6"),
IF($B23="Lee Ka Po, Kathy",IF(MOD(AG$13,2)=0,"D1","B6"),
IFERROR(IF(SUMPRODUCT(($B$3:$AG$3=AG$16)*($B$5:$AG$7=VLOOKUP($B23,'On call stat'!$S$3:$T$10,2,FALSE)))&gt;0,"E","D"),"D"))))))))</f>
        <v>D</v>
      </c>
      <c r="AK23" s="11" t="s">
        <v>23</v>
      </c>
      <c r="AL23" s="65">
        <f t="shared" si="4"/>
        <v>104</v>
      </c>
      <c r="AM23" s="66" cm="1">
        <f t="array" ref="AM23">SUMPRODUCT((C23:AG23="AL") *  (COUNTIF(PH!$A:$A, C$16:AG$16)=0) *(WEEKDAY(C$16:AG$16,2)&lt;=5) *  8)+SUMPRODUCT((C23:AG23="HDAL") *  (COUNTIF(PH!$A:$A, C$16:AG$16)=0) *(WEEKDAY(C$16:AG$16,2)&lt;=6) *  4)</f>
        <v>80</v>
      </c>
      <c r="AN23" s="68">
        <f t="shared" si="5"/>
        <v>184</v>
      </c>
      <c r="AO23" s="67">
        <f>AN23-$AN$18+4</f>
        <v>0</v>
      </c>
      <c r="AP23" s="67">
        <f>AO23+Nov!AP23</f>
        <v>-4</v>
      </c>
    </row>
    <row r="24" spans="1:42" ht="37.5" customHeight="1" thickBot="1">
      <c r="A24" s="23" t="s">
        <v>57</v>
      </c>
      <c r="B24" s="22" t="s">
        <v>61</v>
      </c>
      <c r="C24" s="40" t="str">
        <f>IF(COUNTIF(PH!$A:$A,C$16)&gt;0,"PH",
IF(AND(SUMPRODUCT(($B$9:$AG$10=IFERROR(VLOOKUP($B24,'On call stat'!$S$3:$T$20,2,FALSE),""))*($B$3:$AG$3=C$16))&gt;0,OR(WEEKDAY(C$16,2)=6,),OR($B24="Chan, Man Wai",$B24="Ng Suet Ping, Yoko",$B24="Li Mui Ying",$B24="Lee Ka Po, Kathy",$B24="Huang Huanrao, Yoyo")),"HDAL",
IF(OR(WEEKDAY(C$16,2)=7,AND(WEEKDAY(C$16,2)=6,SUMPRODUCT(($B$9:$AG$10=IFERROR(VLOOKUP($B24,'On call stat'!$S$3:$T$20,2,FALSE),""))*($B$3:$AG$3=C$16))&gt;0)),"DO",
IF(SUMPRODUCT(($B$9:$AG$10=IFERROR(VLOOKUP($B24,'On call stat'!$S$3:$T$20,2,FALSE),""))*($B$3:$AG$3=C$16))&gt;0,"AL",
IF(WEEKDAY(C$16,2)=6,
IF($B24="Chan, Man Wai","HD",
IF($B24="Ng Suet Ping, Yoko","HD",
IF($B24="Li Mui Ying","HD1",
IF($B24="Huang Huanrao, Yoyo",IF(MOD(C$13,2)=1,"HD2",IFERROR(IF(SUMPRODUCT(($B$3:$AG$3=C$16)*($B$5:$AG$7=VLOOKUP($B24,'On call stat'!$S$3:$T$10,2,FALSE)))&gt;0,"D","DO"),"DO")),
IF($B24="Lee Ka Po, Kathy",IF(MOD(C$13,2)=0,"HD2",IFERROR(IF(SUMPRODUCT(($B$3:$AG$3=C$16)*($B$5:$AG$7=VLOOKUP($B24,'On call stat'!$S$3:$T$10,2,FALSE)))&gt;0,"D","DO"),"DO")),
IF($B24="Fan Hoi Wan, Ivy",IF(MOD(C$13,2)=0,"D",IFERROR(IF(SUMPRODUCT(($B$3:$AG$3=C$16)*($B$5:$AG$7=VLOOKUP($B24,'On call stat'!$S$3:$T$10,2,FALSE)))&gt;0,"D","DO"),"DO")),
IFERROR(IF(SUMPRODUCT(($B$3:$AG$3=C$16)*($B$5:$AG$7=VLOOKUP($B24,'On call stat'!$S$3:$T$10,2,FALSE)))&gt;0,"D","DO"),"DO"))))))),
IF($B24="Huang Huanrao, Yoyo",IF(MOD(C$13,2)=1,"D1","B6"),
IF($B24="Lee Ka Po, Kathy",IF(MOD(C$13,2)=0,"D1","B6"),
IFERROR(IF(SUMPRODUCT(($B$3:$AG$3=C$16)*($B$5:$AG$7=VLOOKUP($B24,'On call stat'!$S$3:$T$10,2,FALSE)))&gt;0,"E","D"),"D"))))))))</f>
        <v>D</v>
      </c>
      <c r="D24" s="40" t="str">
        <f>IF(COUNTIF(PH!$A:$A,D$16)&gt;0,"PH",
IF(AND(SUMPRODUCT(($B$9:$AG$10=IFERROR(VLOOKUP($B24,'On call stat'!$S$3:$T$20,2,FALSE),""))*($B$3:$AG$3=D$16))&gt;0,OR(WEEKDAY(D$16,2)=6,),OR($B24="Chan, Man Wai",$B24="Ng Suet Ping, Yoko",$B24="Li Mui Ying",$B24="Lee Ka Po, Kathy",$B24="Huang Huanrao, Yoyo")),"HDAL",
IF(OR(WEEKDAY(D$16,2)=7,AND(WEEKDAY(D$16,2)=6,SUMPRODUCT(($B$9:$AG$10=IFERROR(VLOOKUP($B24,'On call stat'!$S$3:$T$20,2,FALSE),""))*($B$3:$AG$3=D$16))&gt;0)),"DO",
IF(SUMPRODUCT(($B$9:$AG$10=IFERROR(VLOOKUP($B24,'On call stat'!$S$3:$T$20,2,FALSE),""))*($B$3:$AG$3=D$16))&gt;0,"AL",
IF(WEEKDAY(D$16,2)=6,
IF($B24="Chan, Man Wai","HD",
IF($B24="Ng Suet Ping, Yoko","HD",
IF($B24="Li Mui Ying","HD1",
IF($B24="Huang Huanrao, Yoyo",IF(MOD(D$13,2)=1,"HD2",IFERROR(IF(SUMPRODUCT(($B$3:$AG$3=D$16)*($B$5:$AG$7=VLOOKUP($B24,'On call stat'!$S$3:$T$10,2,FALSE)))&gt;0,"D","DO"),"DO")),
IF($B24="Lee Ka Po, Kathy",IF(MOD(D$13,2)=0,"HD2",IFERROR(IF(SUMPRODUCT(($B$3:$AG$3=D$16)*($B$5:$AG$7=VLOOKUP($B24,'On call stat'!$S$3:$T$10,2,FALSE)))&gt;0,"D","DO"),"DO")),
IF($B24="Fan Hoi Wan, Ivy",IF(MOD(D$13,2)=0,"D",IFERROR(IF(SUMPRODUCT(($B$3:$AG$3=D$16)*($B$5:$AG$7=VLOOKUP($B24,'On call stat'!$S$3:$T$10,2,FALSE)))&gt;0,"D","DO"),"DO")),
IFERROR(IF(SUMPRODUCT(($B$3:$AG$3=D$16)*($B$5:$AG$7=VLOOKUP($B24,'On call stat'!$S$3:$T$10,2,FALSE)))&gt;0,"D","DO"),"DO"))))))),
IF($B24="Huang Huanrao, Yoyo",IF(MOD(D$13,2)=1,"D1","B6"),
IF($B24="Lee Ka Po, Kathy",IF(MOD(D$13,2)=0,"D1","B6"),
IFERROR(IF(SUMPRODUCT(($B$3:$AG$3=D$16)*($B$5:$AG$7=VLOOKUP($B24,'On call stat'!$S$3:$T$10,2,FALSE)))&gt;0,"E","D"),"D"))))))))</f>
        <v>D</v>
      </c>
      <c r="E24" s="40" t="str">
        <f>IF(COUNTIF(PH!$A:$A,E$16)&gt;0,"PH",
IF(AND(SUMPRODUCT(($B$9:$AG$10=IFERROR(VLOOKUP($B24,'On call stat'!$S$3:$T$20,2,FALSE),""))*($B$3:$AG$3=E$16))&gt;0,OR(WEEKDAY(E$16,2)=6,),OR($B24="Chan, Man Wai",$B24="Ng Suet Ping, Yoko",$B24="Li Mui Ying",$B24="Lee Ka Po, Kathy",$B24="Huang Huanrao, Yoyo")),"HDAL",
IF(OR(WEEKDAY(E$16,2)=7,AND(WEEKDAY(E$16,2)=6,SUMPRODUCT(($B$9:$AG$10=IFERROR(VLOOKUP($B24,'On call stat'!$S$3:$T$20,2,FALSE),""))*($B$3:$AG$3=E$16))&gt;0)),"DO",
IF(SUMPRODUCT(($B$9:$AG$10=IFERROR(VLOOKUP($B24,'On call stat'!$S$3:$T$20,2,FALSE),""))*($B$3:$AG$3=E$16))&gt;0,"AL",
IF(WEEKDAY(E$16,2)=6,
IF($B24="Chan, Man Wai","HD",
IF($B24="Ng Suet Ping, Yoko","HD",
IF($B24="Li Mui Ying","HD1",
IF($B24="Huang Huanrao, Yoyo",IF(MOD(E$13,2)=1,"HD2",IFERROR(IF(SUMPRODUCT(($B$3:$AG$3=E$16)*($B$5:$AG$7=VLOOKUP($B24,'On call stat'!$S$3:$T$10,2,FALSE)))&gt;0,"D","DO"),"DO")),
IF($B24="Lee Ka Po, Kathy",IF(MOD(E$13,2)=0,"HD2",IFERROR(IF(SUMPRODUCT(($B$3:$AG$3=E$16)*($B$5:$AG$7=VLOOKUP($B24,'On call stat'!$S$3:$T$10,2,FALSE)))&gt;0,"D","DO"),"DO")),
IF($B24="Fan Hoi Wan, Ivy",IF(MOD(E$13,2)=0,"D",IFERROR(IF(SUMPRODUCT(($B$3:$AG$3=E$16)*($B$5:$AG$7=VLOOKUP($B24,'On call stat'!$S$3:$T$10,2,FALSE)))&gt;0,"D","DO"),"DO")),
IFERROR(IF(SUMPRODUCT(($B$3:$AG$3=E$16)*($B$5:$AG$7=VLOOKUP($B24,'On call stat'!$S$3:$T$10,2,FALSE)))&gt;0,"D","DO"),"DO"))))))),
IF($B24="Huang Huanrao, Yoyo",IF(MOD(E$13,2)=1,"D1","B6"),
IF($B24="Lee Ka Po, Kathy",IF(MOD(E$13,2)=0,"D1","B6"),
IFERROR(IF(SUMPRODUCT(($B$3:$AG$3=E$16)*($B$5:$AG$7=VLOOKUP($B24,'On call stat'!$S$3:$T$10,2,FALSE)))&gt;0,"E","D"),"D"))))))))</f>
        <v>D</v>
      </c>
      <c r="F24" s="40" t="str">
        <f>IF(COUNTIF(PH!$A:$A,F$16)&gt;0,"PH",
IF(AND(SUMPRODUCT(($B$9:$AG$10=IFERROR(VLOOKUP($B24,'On call stat'!$S$3:$T$20,2,FALSE),""))*($B$3:$AG$3=F$16))&gt;0,OR(WEEKDAY(F$16,2)=6,),OR($B24="Chan, Man Wai",$B24="Ng Suet Ping, Yoko",$B24="Li Mui Ying",$B24="Lee Ka Po, Kathy",$B24="Huang Huanrao, Yoyo")),"HDAL",
IF(OR(WEEKDAY(F$16,2)=7,AND(WEEKDAY(F$16,2)=6,SUMPRODUCT(($B$9:$AG$10=IFERROR(VLOOKUP($B24,'On call stat'!$S$3:$T$20,2,FALSE),""))*($B$3:$AG$3=F$16))&gt;0)),"DO",
IF(SUMPRODUCT(($B$9:$AG$10=IFERROR(VLOOKUP($B24,'On call stat'!$S$3:$T$20,2,FALSE),""))*($B$3:$AG$3=F$16))&gt;0,"AL",
IF(WEEKDAY(F$16,2)=6,
IF($B24="Chan, Man Wai","HD",
IF($B24="Ng Suet Ping, Yoko","HD",
IF($B24="Li Mui Ying","HD1",
IF($B24="Huang Huanrao, Yoyo",IF(MOD(F$13,2)=1,"HD2",IFERROR(IF(SUMPRODUCT(($B$3:$AG$3=F$16)*($B$5:$AG$7=VLOOKUP($B24,'On call stat'!$S$3:$T$10,2,FALSE)))&gt;0,"D","DO"),"DO")),
IF($B24="Lee Ka Po, Kathy",IF(MOD(F$13,2)=0,"HD2",IFERROR(IF(SUMPRODUCT(($B$3:$AG$3=F$16)*($B$5:$AG$7=VLOOKUP($B24,'On call stat'!$S$3:$T$10,2,FALSE)))&gt;0,"D","DO"),"DO")),
IF($B24="Fan Hoi Wan, Ivy",IF(MOD(F$13,2)=0,"D",IFERROR(IF(SUMPRODUCT(($B$3:$AG$3=F$16)*($B$5:$AG$7=VLOOKUP($B24,'On call stat'!$S$3:$T$10,2,FALSE)))&gt;0,"D","DO"),"DO")),
IFERROR(IF(SUMPRODUCT(($B$3:$AG$3=F$16)*($B$5:$AG$7=VLOOKUP($B24,'On call stat'!$S$3:$T$10,2,FALSE)))&gt;0,"D","DO"),"DO"))))))),
IF($B24="Huang Huanrao, Yoyo",IF(MOD(F$13,2)=1,"D1","B6"),
IF($B24="Lee Ka Po, Kathy",IF(MOD(F$13,2)=0,"D1","B6"),
IFERROR(IF(SUMPRODUCT(($B$3:$AG$3=F$16)*($B$5:$AG$7=VLOOKUP($B24,'On call stat'!$S$3:$T$10,2,FALSE)))&gt;0,"E","D"),"D"))))))))</f>
        <v>D</v>
      </c>
      <c r="G24" s="40" t="str">
        <f>IF(COUNTIF(PH!$A:$A,G$16)&gt;0,"PH",
IF(AND(SUMPRODUCT(($B$9:$AG$10=IFERROR(VLOOKUP($B24,'On call stat'!$S$3:$T$20,2,FALSE),""))*($B$3:$AG$3=G$16))&gt;0,OR(WEEKDAY(G$16,2)=6,),OR($B24="Chan, Man Wai",$B24="Ng Suet Ping, Yoko",$B24="Li Mui Ying",$B24="Lee Ka Po, Kathy",$B24="Huang Huanrao, Yoyo")),"HDAL",
IF(OR(WEEKDAY(G$16,2)=7,AND(WEEKDAY(G$16,2)=6,SUMPRODUCT(($B$9:$AG$10=IFERROR(VLOOKUP($B24,'On call stat'!$S$3:$T$20,2,FALSE),""))*($B$3:$AG$3=G$16))&gt;0)),"DO",
IF(SUMPRODUCT(($B$9:$AG$10=IFERROR(VLOOKUP($B24,'On call stat'!$S$3:$T$20,2,FALSE),""))*($B$3:$AG$3=G$16))&gt;0,"AL",
IF(WEEKDAY(G$16,2)=6,
IF($B24="Chan, Man Wai","HD",
IF($B24="Ng Suet Ping, Yoko","HD",
IF($B24="Li Mui Ying","HD1",
IF($B24="Huang Huanrao, Yoyo",IF(MOD(G$13,2)=1,"HD2",IFERROR(IF(SUMPRODUCT(($B$3:$AG$3=G$16)*($B$5:$AG$7=VLOOKUP($B24,'On call stat'!$S$3:$T$10,2,FALSE)))&gt;0,"D","DO"),"DO")),
IF($B24="Lee Ka Po, Kathy",IF(MOD(G$13,2)=0,"HD2",IFERROR(IF(SUMPRODUCT(($B$3:$AG$3=G$16)*($B$5:$AG$7=VLOOKUP($B24,'On call stat'!$S$3:$T$10,2,FALSE)))&gt;0,"D","DO"),"DO")),
IF($B24="Fan Hoi Wan, Ivy",IF(MOD(G$13,2)=0,"D",IFERROR(IF(SUMPRODUCT(($B$3:$AG$3=G$16)*($B$5:$AG$7=VLOOKUP($B24,'On call stat'!$S$3:$T$10,2,FALSE)))&gt;0,"D","DO"),"DO")),
IFERROR(IF(SUMPRODUCT(($B$3:$AG$3=G$16)*($B$5:$AG$7=VLOOKUP($B24,'On call stat'!$S$3:$T$10,2,FALSE)))&gt;0,"D","DO"),"DO"))))))),
IF($B24="Huang Huanrao, Yoyo",IF(MOD(G$13,2)=1,"D1","B6"),
IF($B24="Lee Ka Po, Kathy",IF(MOD(G$13,2)=0,"D1","B6"),
IFERROR(IF(SUMPRODUCT(($B$3:$AG$3=G$16)*($B$5:$AG$7=VLOOKUP($B24,'On call stat'!$S$3:$T$10,2,FALSE)))&gt;0,"E","D"),"D"))))))))</f>
        <v>DO</v>
      </c>
      <c r="H24" s="40" t="str">
        <f>IF(COUNTIF(PH!$A:$A,H$16)&gt;0,"PH",
IF(AND(SUMPRODUCT(($B$9:$AG$10=IFERROR(VLOOKUP($B24,'On call stat'!$S$3:$T$20,2,FALSE),""))*($B$3:$AG$3=H$16))&gt;0,OR(WEEKDAY(H$16,2)=6,),OR($B24="Chan, Man Wai",$B24="Ng Suet Ping, Yoko",$B24="Li Mui Ying",$B24="Lee Ka Po, Kathy",$B24="Huang Huanrao, Yoyo")),"HDAL",
IF(OR(WEEKDAY(H$16,2)=7,AND(WEEKDAY(H$16,2)=6,SUMPRODUCT(($B$9:$AG$10=IFERROR(VLOOKUP($B24,'On call stat'!$S$3:$T$20,2,FALSE),""))*($B$3:$AG$3=H$16))&gt;0)),"DO",
IF(SUMPRODUCT(($B$9:$AG$10=IFERROR(VLOOKUP($B24,'On call stat'!$S$3:$T$20,2,FALSE),""))*($B$3:$AG$3=H$16))&gt;0,"AL",
IF(WEEKDAY(H$16,2)=6,
IF($B24="Chan, Man Wai","HD",
IF($B24="Ng Suet Ping, Yoko","HD",
IF($B24="Li Mui Ying","HD1",
IF($B24="Huang Huanrao, Yoyo",IF(MOD(H$13,2)=1,"HD2",IFERROR(IF(SUMPRODUCT(($B$3:$AG$3=H$16)*($B$5:$AG$7=VLOOKUP($B24,'On call stat'!$S$3:$T$10,2,FALSE)))&gt;0,"D","DO"),"DO")),
IF($B24="Lee Ka Po, Kathy",IF(MOD(H$13,2)=0,"HD2",IFERROR(IF(SUMPRODUCT(($B$3:$AG$3=H$16)*($B$5:$AG$7=VLOOKUP($B24,'On call stat'!$S$3:$T$10,2,FALSE)))&gt;0,"D","DO"),"DO")),
IF($B24="Fan Hoi Wan, Ivy",IF(MOD(H$13,2)=0,"D",IFERROR(IF(SUMPRODUCT(($B$3:$AG$3=H$16)*($B$5:$AG$7=VLOOKUP($B24,'On call stat'!$S$3:$T$10,2,FALSE)))&gt;0,"D","DO"),"DO")),
IFERROR(IF(SUMPRODUCT(($B$3:$AG$3=H$16)*($B$5:$AG$7=VLOOKUP($B24,'On call stat'!$S$3:$T$10,2,FALSE)))&gt;0,"D","DO"),"DO"))))))),
IF($B24="Huang Huanrao, Yoyo",IF(MOD(H$13,2)=1,"D1","B6"),
IF($B24="Lee Ka Po, Kathy",IF(MOD(H$13,2)=0,"D1","B6"),
IFERROR(IF(SUMPRODUCT(($B$3:$AG$3=H$16)*($B$5:$AG$7=VLOOKUP($B24,'On call stat'!$S$3:$T$10,2,FALSE)))&gt;0,"E","D"),"D"))))))))</f>
        <v>DO</v>
      </c>
      <c r="I24" s="40" t="str">
        <f>IF(COUNTIF(PH!$A:$A,I$16)&gt;0,"PH",
IF(AND(SUMPRODUCT(($B$9:$AG$10=IFERROR(VLOOKUP($B24,'On call stat'!$S$3:$T$20,2,FALSE),""))*($B$3:$AG$3=I$16))&gt;0,OR(WEEKDAY(I$16,2)=6,),OR($B24="Chan, Man Wai",$B24="Ng Suet Ping, Yoko",$B24="Li Mui Ying",$B24="Lee Ka Po, Kathy",$B24="Huang Huanrao, Yoyo")),"HDAL",
IF(OR(WEEKDAY(I$16,2)=7,AND(WEEKDAY(I$16,2)=6,SUMPRODUCT(($B$9:$AG$10=IFERROR(VLOOKUP($B24,'On call stat'!$S$3:$T$20,2,FALSE),""))*($B$3:$AG$3=I$16))&gt;0)),"DO",
IF(SUMPRODUCT(($B$9:$AG$10=IFERROR(VLOOKUP($B24,'On call stat'!$S$3:$T$20,2,FALSE),""))*($B$3:$AG$3=I$16))&gt;0,"AL",
IF(WEEKDAY(I$16,2)=6,
IF($B24="Chan, Man Wai","HD",
IF($B24="Ng Suet Ping, Yoko","HD",
IF($B24="Li Mui Ying","HD1",
IF($B24="Huang Huanrao, Yoyo",IF(MOD(I$13,2)=1,"HD2",IFERROR(IF(SUMPRODUCT(($B$3:$AG$3=I$16)*($B$5:$AG$7=VLOOKUP($B24,'On call stat'!$S$3:$T$10,2,FALSE)))&gt;0,"D","DO"),"DO")),
IF($B24="Lee Ka Po, Kathy",IF(MOD(I$13,2)=0,"HD2",IFERROR(IF(SUMPRODUCT(($B$3:$AG$3=I$16)*($B$5:$AG$7=VLOOKUP($B24,'On call stat'!$S$3:$T$10,2,FALSE)))&gt;0,"D","DO"),"DO")),
IF($B24="Fan Hoi Wan, Ivy",IF(MOD(I$13,2)=0,"D",IFERROR(IF(SUMPRODUCT(($B$3:$AG$3=I$16)*($B$5:$AG$7=VLOOKUP($B24,'On call stat'!$S$3:$T$10,2,FALSE)))&gt;0,"D","DO"),"DO")),
IFERROR(IF(SUMPRODUCT(($B$3:$AG$3=I$16)*($B$5:$AG$7=VLOOKUP($B24,'On call stat'!$S$3:$T$10,2,FALSE)))&gt;0,"D","DO"),"DO"))))))),
IF($B24="Huang Huanrao, Yoyo",IF(MOD(I$13,2)=1,"D1","B6"),
IF($B24="Lee Ka Po, Kathy",IF(MOD(I$13,2)=0,"D1","B6"),
IFERROR(IF(SUMPRODUCT(($B$3:$AG$3=I$16)*($B$5:$AG$7=VLOOKUP($B24,'On call stat'!$S$3:$T$10,2,FALSE)))&gt;0,"E","D"),"D"))))))))</f>
        <v>E</v>
      </c>
      <c r="J24" s="40" t="str">
        <f>IF(COUNTIF(PH!$A:$A,J$16)&gt;0,"PH",
IF(AND(SUMPRODUCT(($B$9:$AG$10=IFERROR(VLOOKUP($B24,'On call stat'!$S$3:$T$20,2,FALSE),""))*($B$3:$AG$3=J$16))&gt;0,OR(WEEKDAY(J$16,2)=6,),OR($B24="Chan, Man Wai",$B24="Ng Suet Ping, Yoko",$B24="Li Mui Ying",$B24="Lee Ka Po, Kathy",$B24="Huang Huanrao, Yoyo")),"HDAL",
IF(OR(WEEKDAY(J$16,2)=7,AND(WEEKDAY(J$16,2)=6,SUMPRODUCT(($B$9:$AG$10=IFERROR(VLOOKUP($B24,'On call stat'!$S$3:$T$20,2,FALSE),""))*($B$3:$AG$3=J$16))&gt;0)),"DO",
IF(SUMPRODUCT(($B$9:$AG$10=IFERROR(VLOOKUP($B24,'On call stat'!$S$3:$T$20,2,FALSE),""))*($B$3:$AG$3=J$16))&gt;0,"AL",
IF(WEEKDAY(J$16,2)=6,
IF($B24="Chan, Man Wai","HD",
IF($B24="Ng Suet Ping, Yoko","HD",
IF($B24="Li Mui Ying","HD1",
IF($B24="Huang Huanrao, Yoyo",IF(MOD(J$13,2)=1,"HD2",IFERROR(IF(SUMPRODUCT(($B$3:$AG$3=J$16)*($B$5:$AG$7=VLOOKUP($B24,'On call stat'!$S$3:$T$10,2,FALSE)))&gt;0,"D","DO"),"DO")),
IF($B24="Lee Ka Po, Kathy",IF(MOD(J$13,2)=0,"HD2",IFERROR(IF(SUMPRODUCT(($B$3:$AG$3=J$16)*($B$5:$AG$7=VLOOKUP($B24,'On call stat'!$S$3:$T$10,2,FALSE)))&gt;0,"D","DO"),"DO")),
IF($B24="Fan Hoi Wan, Ivy",IF(MOD(J$13,2)=0,"D",IFERROR(IF(SUMPRODUCT(($B$3:$AG$3=J$16)*($B$5:$AG$7=VLOOKUP($B24,'On call stat'!$S$3:$T$10,2,FALSE)))&gt;0,"D","DO"),"DO")),
IFERROR(IF(SUMPRODUCT(($B$3:$AG$3=J$16)*($B$5:$AG$7=VLOOKUP($B24,'On call stat'!$S$3:$T$10,2,FALSE)))&gt;0,"D","DO"),"DO"))))))),
IF($B24="Huang Huanrao, Yoyo",IF(MOD(J$13,2)=1,"D1","B6"),
IF($B24="Lee Ka Po, Kathy",IF(MOD(J$13,2)=0,"D1","B6"),
IFERROR(IF(SUMPRODUCT(($B$3:$AG$3=J$16)*($B$5:$AG$7=VLOOKUP($B24,'On call stat'!$S$3:$T$10,2,FALSE)))&gt;0,"E","D"),"D"))))))))</f>
        <v>E</v>
      </c>
      <c r="K24" s="40" t="str">
        <f>IF(COUNTIF(PH!$A:$A,K$16)&gt;0,"PH",
IF(AND(SUMPRODUCT(($B$9:$AG$10=IFERROR(VLOOKUP($B24,'On call stat'!$S$3:$T$20,2,FALSE),""))*($B$3:$AG$3=K$16))&gt;0,OR(WEEKDAY(K$16,2)=6,),OR($B24="Chan, Man Wai",$B24="Ng Suet Ping, Yoko",$B24="Li Mui Ying",$B24="Lee Ka Po, Kathy",$B24="Huang Huanrao, Yoyo")),"HDAL",
IF(OR(WEEKDAY(K$16,2)=7,AND(WEEKDAY(K$16,2)=6,SUMPRODUCT(($B$9:$AG$10=IFERROR(VLOOKUP($B24,'On call stat'!$S$3:$T$20,2,FALSE),""))*($B$3:$AG$3=K$16))&gt;0)),"DO",
IF(SUMPRODUCT(($B$9:$AG$10=IFERROR(VLOOKUP($B24,'On call stat'!$S$3:$T$20,2,FALSE),""))*($B$3:$AG$3=K$16))&gt;0,"AL",
IF(WEEKDAY(K$16,2)=6,
IF($B24="Chan, Man Wai","HD",
IF($B24="Ng Suet Ping, Yoko","HD",
IF($B24="Li Mui Ying","HD1",
IF($B24="Huang Huanrao, Yoyo",IF(MOD(K$13,2)=1,"HD2",IFERROR(IF(SUMPRODUCT(($B$3:$AG$3=K$16)*($B$5:$AG$7=VLOOKUP($B24,'On call stat'!$S$3:$T$10,2,FALSE)))&gt;0,"D","DO"),"DO")),
IF($B24="Lee Ka Po, Kathy",IF(MOD(K$13,2)=0,"HD2",IFERROR(IF(SUMPRODUCT(($B$3:$AG$3=K$16)*($B$5:$AG$7=VLOOKUP($B24,'On call stat'!$S$3:$T$10,2,FALSE)))&gt;0,"D","DO"),"DO")),
IF($B24="Fan Hoi Wan, Ivy",IF(MOD(K$13,2)=0,"D",IFERROR(IF(SUMPRODUCT(($B$3:$AG$3=K$16)*($B$5:$AG$7=VLOOKUP($B24,'On call stat'!$S$3:$T$10,2,FALSE)))&gt;0,"D","DO"),"DO")),
IFERROR(IF(SUMPRODUCT(($B$3:$AG$3=K$16)*($B$5:$AG$7=VLOOKUP($B24,'On call stat'!$S$3:$T$10,2,FALSE)))&gt;0,"D","DO"),"DO"))))))),
IF($B24="Huang Huanrao, Yoyo",IF(MOD(K$13,2)=1,"D1","B6"),
IF($B24="Lee Ka Po, Kathy",IF(MOD(K$13,2)=0,"D1","B6"),
IFERROR(IF(SUMPRODUCT(($B$3:$AG$3=K$16)*($B$5:$AG$7=VLOOKUP($B24,'On call stat'!$S$3:$T$10,2,FALSE)))&gt;0,"E","D"),"D"))))))))</f>
        <v>E</v>
      </c>
      <c r="L24" s="40" t="str">
        <f>IF(COUNTIF(PH!$A:$A,L$16)&gt;0,"PH",
IF(AND(SUMPRODUCT(($B$9:$AG$10=IFERROR(VLOOKUP($B24,'On call stat'!$S$3:$T$20,2,FALSE),""))*($B$3:$AG$3=L$16))&gt;0,OR(WEEKDAY(L$16,2)=6,),OR($B24="Chan, Man Wai",$B24="Ng Suet Ping, Yoko",$B24="Li Mui Ying",$B24="Lee Ka Po, Kathy",$B24="Huang Huanrao, Yoyo")),"HDAL",
IF(OR(WEEKDAY(L$16,2)=7,AND(WEEKDAY(L$16,2)=6,SUMPRODUCT(($B$9:$AG$10=IFERROR(VLOOKUP($B24,'On call stat'!$S$3:$T$20,2,FALSE),""))*($B$3:$AG$3=L$16))&gt;0)),"DO",
IF(SUMPRODUCT(($B$9:$AG$10=IFERROR(VLOOKUP($B24,'On call stat'!$S$3:$T$20,2,FALSE),""))*($B$3:$AG$3=L$16))&gt;0,"AL",
IF(WEEKDAY(L$16,2)=6,
IF($B24="Chan, Man Wai","HD",
IF($B24="Ng Suet Ping, Yoko","HD",
IF($B24="Li Mui Ying","HD1",
IF($B24="Huang Huanrao, Yoyo",IF(MOD(L$13,2)=1,"HD2",IFERROR(IF(SUMPRODUCT(($B$3:$AG$3=L$16)*($B$5:$AG$7=VLOOKUP($B24,'On call stat'!$S$3:$T$10,2,FALSE)))&gt;0,"D","DO"),"DO")),
IF($B24="Lee Ka Po, Kathy",IF(MOD(L$13,2)=0,"HD2",IFERROR(IF(SUMPRODUCT(($B$3:$AG$3=L$16)*($B$5:$AG$7=VLOOKUP($B24,'On call stat'!$S$3:$T$10,2,FALSE)))&gt;0,"D","DO"),"DO")),
IF($B24="Fan Hoi Wan, Ivy",IF(MOD(L$13,2)=0,"D",IFERROR(IF(SUMPRODUCT(($B$3:$AG$3=L$16)*($B$5:$AG$7=VLOOKUP($B24,'On call stat'!$S$3:$T$10,2,FALSE)))&gt;0,"D","DO"),"DO")),
IFERROR(IF(SUMPRODUCT(($B$3:$AG$3=L$16)*($B$5:$AG$7=VLOOKUP($B24,'On call stat'!$S$3:$T$10,2,FALSE)))&gt;0,"D","DO"),"DO"))))))),
IF($B24="Huang Huanrao, Yoyo",IF(MOD(L$13,2)=1,"D1","B6"),
IF($B24="Lee Ka Po, Kathy",IF(MOD(L$13,2)=0,"D1","B6"),
IFERROR(IF(SUMPRODUCT(($B$3:$AG$3=L$16)*($B$5:$AG$7=VLOOKUP($B24,'On call stat'!$S$3:$T$10,2,FALSE)))&gt;0,"E","D"),"D"))))))))</f>
        <v>E</v>
      </c>
      <c r="M24" s="40" t="str">
        <f>IF(COUNTIF(PH!$A:$A,M$16)&gt;0,"PH",
IF(AND(SUMPRODUCT(($B$9:$AG$10=IFERROR(VLOOKUP($B24,'On call stat'!$S$3:$T$20,2,FALSE),""))*($B$3:$AG$3=M$16))&gt;0,OR(WEEKDAY(M$16,2)=6,),OR($B24="Chan, Man Wai",$B24="Ng Suet Ping, Yoko",$B24="Li Mui Ying",$B24="Lee Ka Po, Kathy",$B24="Huang Huanrao, Yoyo")),"HDAL",
IF(OR(WEEKDAY(M$16,2)=7,AND(WEEKDAY(M$16,2)=6,SUMPRODUCT(($B$9:$AG$10=IFERROR(VLOOKUP($B24,'On call stat'!$S$3:$T$20,2,FALSE),""))*($B$3:$AG$3=M$16))&gt;0)),"DO",
IF(SUMPRODUCT(($B$9:$AG$10=IFERROR(VLOOKUP($B24,'On call stat'!$S$3:$T$20,2,FALSE),""))*($B$3:$AG$3=M$16))&gt;0,"AL",
IF(WEEKDAY(M$16,2)=6,
IF($B24="Chan, Man Wai","HD",
IF($B24="Ng Suet Ping, Yoko","HD",
IF($B24="Li Mui Ying","HD1",
IF($B24="Huang Huanrao, Yoyo",IF(MOD(M$13,2)=1,"HD2",IFERROR(IF(SUMPRODUCT(($B$3:$AG$3=M$16)*($B$5:$AG$7=VLOOKUP($B24,'On call stat'!$S$3:$T$10,2,FALSE)))&gt;0,"D","DO"),"DO")),
IF($B24="Lee Ka Po, Kathy",IF(MOD(M$13,2)=0,"HD2",IFERROR(IF(SUMPRODUCT(($B$3:$AG$3=M$16)*($B$5:$AG$7=VLOOKUP($B24,'On call stat'!$S$3:$T$10,2,FALSE)))&gt;0,"D","DO"),"DO")),
IF($B24="Fan Hoi Wan, Ivy",IF(MOD(M$13,2)=0,"D",IFERROR(IF(SUMPRODUCT(($B$3:$AG$3=M$16)*($B$5:$AG$7=VLOOKUP($B24,'On call stat'!$S$3:$T$10,2,FALSE)))&gt;0,"D","DO"),"DO")),
IFERROR(IF(SUMPRODUCT(($B$3:$AG$3=M$16)*($B$5:$AG$7=VLOOKUP($B24,'On call stat'!$S$3:$T$10,2,FALSE)))&gt;0,"D","DO"),"DO"))))))),
IF($B24="Huang Huanrao, Yoyo",IF(MOD(M$13,2)=1,"D1","B6"),
IF($B24="Lee Ka Po, Kathy",IF(MOD(M$13,2)=0,"D1","B6"),
IFERROR(IF(SUMPRODUCT(($B$3:$AG$3=M$16)*($B$5:$AG$7=VLOOKUP($B24,'On call stat'!$S$3:$T$10,2,FALSE)))&gt;0,"E","D"),"D"))))))))</f>
        <v>E</v>
      </c>
      <c r="N24" s="40" t="str">
        <f>IF(COUNTIF(PH!$A:$A,N$16)&gt;0,"PH",
IF(AND(SUMPRODUCT(($B$9:$AG$10=IFERROR(VLOOKUP($B24,'On call stat'!$S$3:$T$20,2,FALSE),""))*($B$3:$AG$3=N$16))&gt;0,OR(WEEKDAY(N$16,2)=6,),OR($B24="Chan, Man Wai",$B24="Ng Suet Ping, Yoko",$B24="Li Mui Ying",$B24="Lee Ka Po, Kathy",$B24="Huang Huanrao, Yoyo")),"HDAL",
IF(OR(WEEKDAY(N$16,2)=7,AND(WEEKDAY(N$16,2)=6,SUMPRODUCT(($B$9:$AG$10=IFERROR(VLOOKUP($B24,'On call stat'!$S$3:$T$20,2,FALSE),""))*($B$3:$AG$3=N$16))&gt;0)),"DO",
IF(SUMPRODUCT(($B$9:$AG$10=IFERROR(VLOOKUP($B24,'On call stat'!$S$3:$T$20,2,FALSE),""))*($B$3:$AG$3=N$16))&gt;0,"AL",
IF(WEEKDAY(N$16,2)=6,
IF($B24="Chan, Man Wai","HD",
IF($B24="Ng Suet Ping, Yoko","HD",
IF($B24="Li Mui Ying","HD1",
IF($B24="Huang Huanrao, Yoyo",IF(MOD(N$13,2)=1,"HD2",IFERROR(IF(SUMPRODUCT(($B$3:$AG$3=N$16)*($B$5:$AG$7=VLOOKUP($B24,'On call stat'!$S$3:$T$10,2,FALSE)))&gt;0,"D","DO"),"DO")),
IF($B24="Lee Ka Po, Kathy",IF(MOD(N$13,2)=0,"HD2",IFERROR(IF(SUMPRODUCT(($B$3:$AG$3=N$16)*($B$5:$AG$7=VLOOKUP($B24,'On call stat'!$S$3:$T$10,2,FALSE)))&gt;0,"D","DO"),"DO")),
IF($B24="Fan Hoi Wan, Ivy",IF(MOD(N$13,2)=0,"D",IFERROR(IF(SUMPRODUCT(($B$3:$AG$3=N$16)*($B$5:$AG$7=VLOOKUP($B24,'On call stat'!$S$3:$T$10,2,FALSE)))&gt;0,"D","DO"),"DO")),
IFERROR(IF(SUMPRODUCT(($B$3:$AG$3=N$16)*($B$5:$AG$7=VLOOKUP($B24,'On call stat'!$S$3:$T$10,2,FALSE)))&gt;0,"D","DO"),"DO"))))))),
IF($B24="Huang Huanrao, Yoyo",IF(MOD(N$13,2)=1,"D1","B6"),
IF($B24="Lee Ka Po, Kathy",IF(MOD(N$13,2)=0,"D1","B6"),
IFERROR(IF(SUMPRODUCT(($B$3:$AG$3=N$16)*($B$5:$AG$7=VLOOKUP($B24,'On call stat'!$S$3:$T$10,2,FALSE)))&gt;0,"E","D"),"D"))))))))</f>
        <v>D</v>
      </c>
      <c r="O24" s="40" t="str">
        <f>IF(COUNTIF(PH!$A:$A,O$16)&gt;0,"PH",
IF(AND(SUMPRODUCT(($B$9:$AG$10=IFERROR(VLOOKUP($B24,'On call stat'!$S$3:$T$20,2,FALSE),""))*($B$3:$AG$3=O$16))&gt;0,OR(WEEKDAY(O$16,2)=6,),OR($B24="Chan, Man Wai",$B24="Ng Suet Ping, Yoko",$B24="Li Mui Ying",$B24="Lee Ka Po, Kathy",$B24="Huang Huanrao, Yoyo")),"HDAL",
IF(OR(WEEKDAY(O$16,2)=7,AND(WEEKDAY(O$16,2)=6,SUMPRODUCT(($B$9:$AG$10=IFERROR(VLOOKUP($B24,'On call stat'!$S$3:$T$20,2,FALSE),""))*($B$3:$AG$3=O$16))&gt;0)),"DO",
IF(SUMPRODUCT(($B$9:$AG$10=IFERROR(VLOOKUP($B24,'On call stat'!$S$3:$T$20,2,FALSE),""))*($B$3:$AG$3=O$16))&gt;0,"AL",
IF(WEEKDAY(O$16,2)=6,
IF($B24="Chan, Man Wai","HD",
IF($B24="Ng Suet Ping, Yoko","HD",
IF($B24="Li Mui Ying","HD1",
IF($B24="Huang Huanrao, Yoyo",IF(MOD(O$13,2)=1,"HD2",IFERROR(IF(SUMPRODUCT(($B$3:$AG$3=O$16)*($B$5:$AG$7=VLOOKUP($B24,'On call stat'!$S$3:$T$10,2,FALSE)))&gt;0,"D","DO"),"DO")),
IF($B24="Lee Ka Po, Kathy",IF(MOD(O$13,2)=0,"HD2",IFERROR(IF(SUMPRODUCT(($B$3:$AG$3=O$16)*($B$5:$AG$7=VLOOKUP($B24,'On call stat'!$S$3:$T$10,2,FALSE)))&gt;0,"D","DO"),"DO")),
IF($B24="Fan Hoi Wan, Ivy",IF(MOD(O$13,2)=0,"D",IFERROR(IF(SUMPRODUCT(($B$3:$AG$3=O$16)*($B$5:$AG$7=VLOOKUP($B24,'On call stat'!$S$3:$T$10,2,FALSE)))&gt;0,"D","DO"),"DO")),
IFERROR(IF(SUMPRODUCT(($B$3:$AG$3=O$16)*($B$5:$AG$7=VLOOKUP($B24,'On call stat'!$S$3:$T$10,2,FALSE)))&gt;0,"D","DO"),"DO"))))))),
IF($B24="Huang Huanrao, Yoyo",IF(MOD(O$13,2)=1,"D1","B6"),
IF($B24="Lee Ka Po, Kathy",IF(MOD(O$13,2)=0,"D1","B6"),
IFERROR(IF(SUMPRODUCT(($B$3:$AG$3=O$16)*($B$5:$AG$7=VLOOKUP($B24,'On call stat'!$S$3:$T$10,2,FALSE)))&gt;0,"E","D"),"D"))))))))</f>
        <v>DO</v>
      </c>
      <c r="P24" s="40" t="str">
        <f>IF(COUNTIF(PH!$A:$A,P$16)&gt;0,"PH",
IF(AND(SUMPRODUCT(($B$9:$AG$10=IFERROR(VLOOKUP($B24,'On call stat'!$S$3:$T$20,2,FALSE),""))*($B$3:$AG$3=P$16))&gt;0,OR(WEEKDAY(P$16,2)=6,),OR($B24="Chan, Man Wai",$B24="Ng Suet Ping, Yoko",$B24="Li Mui Ying",$B24="Lee Ka Po, Kathy",$B24="Huang Huanrao, Yoyo")),"HDAL",
IF(OR(WEEKDAY(P$16,2)=7,AND(WEEKDAY(P$16,2)=6,SUMPRODUCT(($B$9:$AG$10=IFERROR(VLOOKUP($B24,'On call stat'!$S$3:$T$20,2,FALSE),""))*($B$3:$AG$3=P$16))&gt;0)),"DO",
IF(SUMPRODUCT(($B$9:$AG$10=IFERROR(VLOOKUP($B24,'On call stat'!$S$3:$T$20,2,FALSE),""))*($B$3:$AG$3=P$16))&gt;0,"AL",
IF(WEEKDAY(P$16,2)=6,
IF($B24="Chan, Man Wai","HD",
IF($B24="Ng Suet Ping, Yoko","HD",
IF($B24="Li Mui Ying","HD1",
IF($B24="Huang Huanrao, Yoyo",IF(MOD(P$13,2)=1,"HD2",IFERROR(IF(SUMPRODUCT(($B$3:$AG$3=P$16)*($B$5:$AG$7=VLOOKUP($B24,'On call stat'!$S$3:$T$10,2,FALSE)))&gt;0,"D","DO"),"DO")),
IF($B24="Lee Ka Po, Kathy",IF(MOD(P$13,2)=0,"HD2",IFERROR(IF(SUMPRODUCT(($B$3:$AG$3=P$16)*($B$5:$AG$7=VLOOKUP($B24,'On call stat'!$S$3:$T$10,2,FALSE)))&gt;0,"D","DO"),"DO")),
IF($B24="Fan Hoi Wan, Ivy",IF(MOD(P$13,2)=0,"D",IFERROR(IF(SUMPRODUCT(($B$3:$AG$3=P$16)*($B$5:$AG$7=VLOOKUP($B24,'On call stat'!$S$3:$T$10,2,FALSE)))&gt;0,"D","DO"),"DO")),
IFERROR(IF(SUMPRODUCT(($B$3:$AG$3=P$16)*($B$5:$AG$7=VLOOKUP($B24,'On call stat'!$S$3:$T$10,2,FALSE)))&gt;0,"D","DO"),"DO"))))))),
IF($B24="Huang Huanrao, Yoyo",IF(MOD(P$13,2)=1,"D1","B6"),
IF($B24="Lee Ka Po, Kathy",IF(MOD(P$13,2)=0,"D1","B6"),
IFERROR(IF(SUMPRODUCT(($B$3:$AG$3=P$16)*($B$5:$AG$7=VLOOKUP($B24,'On call stat'!$S$3:$T$10,2,FALSE)))&gt;0,"E","D"),"D"))))))))</f>
        <v>E</v>
      </c>
      <c r="Q24" s="40" t="str">
        <f>IF(COUNTIF(PH!$A:$A,Q$16)&gt;0,"PH",
IF(AND(SUMPRODUCT(($B$9:$AG$10=IFERROR(VLOOKUP($B24,'On call stat'!$S$3:$T$20,2,FALSE),""))*($B$3:$AG$3=Q$16))&gt;0,OR(WEEKDAY(Q$16,2)=6,),OR($B24="Chan, Man Wai",$B24="Ng Suet Ping, Yoko",$B24="Li Mui Ying",$B24="Lee Ka Po, Kathy",$B24="Huang Huanrao, Yoyo")),"HDAL",
IF(OR(WEEKDAY(Q$16,2)=7,AND(WEEKDAY(Q$16,2)=6,SUMPRODUCT(($B$9:$AG$10=IFERROR(VLOOKUP($B24,'On call stat'!$S$3:$T$20,2,FALSE),""))*($B$3:$AG$3=Q$16))&gt;0)),"DO",
IF(SUMPRODUCT(($B$9:$AG$10=IFERROR(VLOOKUP($B24,'On call stat'!$S$3:$T$20,2,FALSE),""))*($B$3:$AG$3=Q$16))&gt;0,"AL",
IF(WEEKDAY(Q$16,2)=6,
IF($B24="Chan, Man Wai","HD",
IF($B24="Ng Suet Ping, Yoko","HD",
IF($B24="Li Mui Ying","HD1",
IF($B24="Huang Huanrao, Yoyo",IF(MOD(Q$13,2)=1,"HD2",IFERROR(IF(SUMPRODUCT(($B$3:$AG$3=Q$16)*($B$5:$AG$7=VLOOKUP($B24,'On call stat'!$S$3:$T$10,2,FALSE)))&gt;0,"D","DO"),"DO")),
IF($B24="Lee Ka Po, Kathy",IF(MOD(Q$13,2)=0,"HD2",IFERROR(IF(SUMPRODUCT(($B$3:$AG$3=Q$16)*($B$5:$AG$7=VLOOKUP($B24,'On call stat'!$S$3:$T$10,2,FALSE)))&gt;0,"D","DO"),"DO")),
IF($B24="Fan Hoi Wan, Ivy",IF(MOD(Q$13,2)=0,"D",IFERROR(IF(SUMPRODUCT(($B$3:$AG$3=Q$16)*($B$5:$AG$7=VLOOKUP($B24,'On call stat'!$S$3:$T$10,2,FALSE)))&gt;0,"D","DO"),"DO")),
IFERROR(IF(SUMPRODUCT(($B$3:$AG$3=Q$16)*($B$5:$AG$7=VLOOKUP($B24,'On call stat'!$S$3:$T$10,2,FALSE)))&gt;0,"D","DO"),"DO"))))))),
IF($B24="Huang Huanrao, Yoyo",IF(MOD(Q$13,2)=1,"D1","B6"),
IF($B24="Lee Ka Po, Kathy",IF(MOD(Q$13,2)=0,"D1","B6"),
IFERROR(IF(SUMPRODUCT(($B$3:$AG$3=Q$16)*($B$5:$AG$7=VLOOKUP($B24,'On call stat'!$S$3:$T$10,2,FALSE)))&gt;0,"E","D"),"D"))))))))</f>
        <v>E</v>
      </c>
      <c r="R24" s="40" t="str">
        <f>IF(COUNTIF(PH!$A:$A,R$16)&gt;0,"PH",
IF(AND(SUMPRODUCT(($B$9:$AG$10=IFERROR(VLOOKUP($B24,'On call stat'!$S$3:$T$20,2,FALSE),""))*($B$3:$AG$3=R$16))&gt;0,OR(WEEKDAY(R$16,2)=6,),OR($B24="Chan, Man Wai",$B24="Ng Suet Ping, Yoko",$B24="Li Mui Ying",$B24="Lee Ka Po, Kathy",$B24="Huang Huanrao, Yoyo")),"HDAL",
IF(OR(WEEKDAY(R$16,2)=7,AND(WEEKDAY(R$16,2)=6,SUMPRODUCT(($B$9:$AG$10=IFERROR(VLOOKUP($B24,'On call stat'!$S$3:$T$20,2,FALSE),""))*($B$3:$AG$3=R$16))&gt;0)),"DO",
IF(SUMPRODUCT(($B$9:$AG$10=IFERROR(VLOOKUP($B24,'On call stat'!$S$3:$T$20,2,FALSE),""))*($B$3:$AG$3=R$16))&gt;0,"AL",
IF(WEEKDAY(R$16,2)=6,
IF($B24="Chan, Man Wai","HD",
IF($B24="Ng Suet Ping, Yoko","HD",
IF($B24="Li Mui Ying","HD1",
IF($B24="Huang Huanrao, Yoyo",IF(MOD(R$13,2)=1,"HD2",IFERROR(IF(SUMPRODUCT(($B$3:$AG$3=R$16)*($B$5:$AG$7=VLOOKUP($B24,'On call stat'!$S$3:$T$10,2,FALSE)))&gt;0,"D","DO"),"DO")),
IF($B24="Lee Ka Po, Kathy",IF(MOD(R$13,2)=0,"HD2",IFERROR(IF(SUMPRODUCT(($B$3:$AG$3=R$16)*($B$5:$AG$7=VLOOKUP($B24,'On call stat'!$S$3:$T$10,2,FALSE)))&gt;0,"D","DO"),"DO")),
IF($B24="Fan Hoi Wan, Ivy",IF(MOD(R$13,2)=0,"D",IFERROR(IF(SUMPRODUCT(($B$3:$AG$3=R$16)*($B$5:$AG$7=VLOOKUP($B24,'On call stat'!$S$3:$T$10,2,FALSE)))&gt;0,"D","DO"),"DO")),
IFERROR(IF(SUMPRODUCT(($B$3:$AG$3=R$16)*($B$5:$AG$7=VLOOKUP($B24,'On call stat'!$S$3:$T$10,2,FALSE)))&gt;0,"D","DO"),"DO"))))))),
IF($B24="Huang Huanrao, Yoyo",IF(MOD(R$13,2)=1,"D1","B6"),
IF($B24="Lee Ka Po, Kathy",IF(MOD(R$13,2)=0,"D1","B6"),
IFERROR(IF(SUMPRODUCT(($B$3:$AG$3=R$16)*($B$5:$AG$7=VLOOKUP($B24,'On call stat'!$S$3:$T$10,2,FALSE)))&gt;0,"E","D"),"D"))))))))</f>
        <v>E</v>
      </c>
      <c r="S24" s="40" t="str">
        <f>IF(COUNTIF(PH!$A:$A,S$16)&gt;0,"PH",
IF(AND(SUMPRODUCT(($B$9:$AG$10=IFERROR(VLOOKUP($B24,'On call stat'!$S$3:$T$20,2,FALSE),""))*($B$3:$AG$3=S$16))&gt;0,OR(WEEKDAY(S$16,2)=6,),OR($B24="Chan, Man Wai",$B24="Ng Suet Ping, Yoko",$B24="Li Mui Ying",$B24="Lee Ka Po, Kathy",$B24="Huang Huanrao, Yoyo")),"HDAL",
IF(OR(WEEKDAY(S$16,2)=7,AND(WEEKDAY(S$16,2)=6,SUMPRODUCT(($B$9:$AG$10=IFERROR(VLOOKUP($B24,'On call stat'!$S$3:$T$20,2,FALSE),""))*($B$3:$AG$3=S$16))&gt;0)),"DO",
IF(SUMPRODUCT(($B$9:$AG$10=IFERROR(VLOOKUP($B24,'On call stat'!$S$3:$T$20,2,FALSE),""))*($B$3:$AG$3=S$16))&gt;0,"AL",
IF(WEEKDAY(S$16,2)=6,
IF($B24="Chan, Man Wai","HD",
IF($B24="Ng Suet Ping, Yoko","HD",
IF($B24="Li Mui Ying","HD1",
IF($B24="Huang Huanrao, Yoyo",IF(MOD(S$13,2)=1,"HD2",IFERROR(IF(SUMPRODUCT(($B$3:$AG$3=S$16)*($B$5:$AG$7=VLOOKUP($B24,'On call stat'!$S$3:$T$10,2,FALSE)))&gt;0,"D","DO"),"DO")),
IF($B24="Lee Ka Po, Kathy",IF(MOD(S$13,2)=0,"HD2",IFERROR(IF(SUMPRODUCT(($B$3:$AG$3=S$16)*($B$5:$AG$7=VLOOKUP($B24,'On call stat'!$S$3:$T$10,2,FALSE)))&gt;0,"D","DO"),"DO")),
IF($B24="Fan Hoi Wan, Ivy",IF(MOD(S$13,2)=0,"D",IFERROR(IF(SUMPRODUCT(($B$3:$AG$3=S$16)*($B$5:$AG$7=VLOOKUP($B24,'On call stat'!$S$3:$T$10,2,FALSE)))&gt;0,"D","DO"),"DO")),
IFERROR(IF(SUMPRODUCT(($B$3:$AG$3=S$16)*($B$5:$AG$7=VLOOKUP($B24,'On call stat'!$S$3:$T$10,2,FALSE)))&gt;0,"D","DO"),"DO"))))))),
IF($B24="Huang Huanrao, Yoyo",IF(MOD(S$13,2)=1,"D1","B6"),
IF($B24="Lee Ka Po, Kathy",IF(MOD(S$13,2)=0,"D1","B6"),
IFERROR(IF(SUMPRODUCT(($B$3:$AG$3=S$16)*($B$5:$AG$7=VLOOKUP($B24,'On call stat'!$S$3:$T$10,2,FALSE)))&gt;0,"E","D"),"D"))))))))</f>
        <v>E</v>
      </c>
      <c r="T24" s="40" t="str">
        <f>IF(COUNTIF(PH!$A:$A,T$16)&gt;0,"PH",
IF(AND(SUMPRODUCT(($B$9:$AG$10=IFERROR(VLOOKUP($B24,'On call stat'!$S$3:$T$20,2,FALSE),""))*($B$3:$AG$3=T$16))&gt;0,OR(WEEKDAY(T$16,2)=6,),OR($B24="Chan, Man Wai",$B24="Ng Suet Ping, Yoko",$B24="Li Mui Ying",$B24="Lee Ka Po, Kathy",$B24="Huang Huanrao, Yoyo")),"HDAL",
IF(OR(WEEKDAY(T$16,2)=7,AND(WEEKDAY(T$16,2)=6,SUMPRODUCT(($B$9:$AG$10=IFERROR(VLOOKUP($B24,'On call stat'!$S$3:$T$20,2,FALSE),""))*($B$3:$AG$3=T$16))&gt;0)),"DO",
IF(SUMPRODUCT(($B$9:$AG$10=IFERROR(VLOOKUP($B24,'On call stat'!$S$3:$T$20,2,FALSE),""))*($B$3:$AG$3=T$16))&gt;0,"AL",
IF(WEEKDAY(T$16,2)=6,
IF($B24="Chan, Man Wai","HD",
IF($B24="Ng Suet Ping, Yoko","HD",
IF($B24="Li Mui Ying","HD1",
IF($B24="Huang Huanrao, Yoyo",IF(MOD(T$13,2)=1,"HD2",IFERROR(IF(SUMPRODUCT(($B$3:$AG$3=T$16)*($B$5:$AG$7=VLOOKUP($B24,'On call stat'!$S$3:$T$10,2,FALSE)))&gt;0,"D","DO"),"DO")),
IF($B24="Lee Ka Po, Kathy",IF(MOD(T$13,2)=0,"HD2",IFERROR(IF(SUMPRODUCT(($B$3:$AG$3=T$16)*($B$5:$AG$7=VLOOKUP($B24,'On call stat'!$S$3:$T$10,2,FALSE)))&gt;0,"D","DO"),"DO")),
IF($B24="Fan Hoi Wan, Ivy",IF(MOD(T$13,2)=0,"D",IFERROR(IF(SUMPRODUCT(($B$3:$AG$3=T$16)*($B$5:$AG$7=VLOOKUP($B24,'On call stat'!$S$3:$T$10,2,FALSE)))&gt;0,"D","DO"),"DO")),
IFERROR(IF(SUMPRODUCT(($B$3:$AG$3=T$16)*($B$5:$AG$7=VLOOKUP($B24,'On call stat'!$S$3:$T$10,2,FALSE)))&gt;0,"D","DO"),"DO"))))))),
IF($B24="Huang Huanrao, Yoyo",IF(MOD(T$13,2)=1,"D1","B6"),
IF($B24="Lee Ka Po, Kathy",IF(MOD(T$13,2)=0,"D1","B6"),
IFERROR(IF(SUMPRODUCT(($B$3:$AG$3=T$16)*($B$5:$AG$7=VLOOKUP($B24,'On call stat'!$S$3:$T$10,2,FALSE)))&gt;0,"E","D"),"D"))))))))</f>
        <v>E</v>
      </c>
      <c r="U24" s="40" t="str">
        <f>IF(COUNTIF(PH!$A:$A,U$16)&gt;0,"PH",
IF(AND(SUMPRODUCT(($B$9:$AG$10=IFERROR(VLOOKUP($B24,'On call stat'!$S$3:$T$20,2,FALSE),""))*($B$3:$AG$3=U$16))&gt;0,OR(WEEKDAY(U$16,2)=6,),OR($B24="Chan, Man Wai",$B24="Ng Suet Ping, Yoko",$B24="Li Mui Ying",$B24="Lee Ka Po, Kathy",$B24="Huang Huanrao, Yoyo")),"HDAL",
IF(OR(WEEKDAY(U$16,2)=7,AND(WEEKDAY(U$16,2)=6,SUMPRODUCT(($B$9:$AG$10=IFERROR(VLOOKUP($B24,'On call stat'!$S$3:$T$20,2,FALSE),""))*($B$3:$AG$3=U$16))&gt;0)),"DO",
IF(SUMPRODUCT(($B$9:$AG$10=IFERROR(VLOOKUP($B24,'On call stat'!$S$3:$T$20,2,FALSE),""))*($B$3:$AG$3=U$16))&gt;0,"AL",
IF(WEEKDAY(U$16,2)=6,
IF($B24="Chan, Man Wai","HD",
IF($B24="Ng Suet Ping, Yoko","HD",
IF($B24="Li Mui Ying","HD1",
IF($B24="Huang Huanrao, Yoyo",IF(MOD(U$13,2)=1,"HD2",IFERROR(IF(SUMPRODUCT(($B$3:$AG$3=U$16)*($B$5:$AG$7=VLOOKUP($B24,'On call stat'!$S$3:$T$10,2,FALSE)))&gt;0,"D","DO"),"DO")),
IF($B24="Lee Ka Po, Kathy",IF(MOD(U$13,2)=0,"HD2",IFERROR(IF(SUMPRODUCT(($B$3:$AG$3=U$16)*($B$5:$AG$7=VLOOKUP($B24,'On call stat'!$S$3:$T$10,2,FALSE)))&gt;0,"D","DO"),"DO")),
IF($B24="Fan Hoi Wan, Ivy",IF(MOD(U$13,2)=0,"D",IFERROR(IF(SUMPRODUCT(($B$3:$AG$3=U$16)*($B$5:$AG$7=VLOOKUP($B24,'On call stat'!$S$3:$T$10,2,FALSE)))&gt;0,"D","DO"),"DO")),
IFERROR(IF(SUMPRODUCT(($B$3:$AG$3=U$16)*($B$5:$AG$7=VLOOKUP($B24,'On call stat'!$S$3:$T$10,2,FALSE)))&gt;0,"D","DO"),"DO"))))))),
IF($B24="Huang Huanrao, Yoyo",IF(MOD(U$13,2)=1,"D1","B6"),
IF($B24="Lee Ka Po, Kathy",IF(MOD(U$13,2)=0,"D1","B6"),
IFERROR(IF(SUMPRODUCT(($B$3:$AG$3=U$16)*($B$5:$AG$7=VLOOKUP($B24,'On call stat'!$S$3:$T$10,2,FALSE)))&gt;0,"E","D"),"D"))))))))</f>
        <v>D</v>
      </c>
      <c r="V24" s="40" t="str">
        <f>IF(COUNTIF(PH!$A:$A,V$16)&gt;0,"PH",
IF(AND(SUMPRODUCT(($B$9:$AG$10=IFERROR(VLOOKUP($B24,'On call stat'!$S$3:$T$20,2,FALSE),""))*($B$3:$AG$3=V$16))&gt;0,OR(WEEKDAY(V$16,2)=6,),OR($B24="Chan, Man Wai",$B24="Ng Suet Ping, Yoko",$B24="Li Mui Ying",$B24="Lee Ka Po, Kathy",$B24="Huang Huanrao, Yoyo")),"HDAL",
IF(OR(WEEKDAY(V$16,2)=7,AND(WEEKDAY(V$16,2)=6,SUMPRODUCT(($B$9:$AG$10=IFERROR(VLOOKUP($B24,'On call stat'!$S$3:$T$20,2,FALSE),""))*($B$3:$AG$3=V$16))&gt;0)),"DO",
IF(SUMPRODUCT(($B$9:$AG$10=IFERROR(VLOOKUP($B24,'On call stat'!$S$3:$T$20,2,FALSE),""))*($B$3:$AG$3=V$16))&gt;0,"AL",
IF(WEEKDAY(V$16,2)=6,
IF($B24="Chan, Man Wai","HD",
IF($B24="Ng Suet Ping, Yoko","HD",
IF($B24="Li Mui Ying","HD1",
IF($B24="Huang Huanrao, Yoyo",IF(MOD(V$13,2)=1,"HD2",IFERROR(IF(SUMPRODUCT(($B$3:$AG$3=V$16)*($B$5:$AG$7=VLOOKUP($B24,'On call stat'!$S$3:$T$10,2,FALSE)))&gt;0,"D","DO"),"DO")),
IF($B24="Lee Ka Po, Kathy",IF(MOD(V$13,2)=0,"HD2",IFERROR(IF(SUMPRODUCT(($B$3:$AG$3=V$16)*($B$5:$AG$7=VLOOKUP($B24,'On call stat'!$S$3:$T$10,2,FALSE)))&gt;0,"D","DO"),"DO")),
IF($B24="Fan Hoi Wan, Ivy",IF(MOD(V$13,2)=0,"D",IFERROR(IF(SUMPRODUCT(($B$3:$AG$3=V$16)*($B$5:$AG$7=VLOOKUP($B24,'On call stat'!$S$3:$T$10,2,FALSE)))&gt;0,"D","DO"),"DO")),
IFERROR(IF(SUMPRODUCT(($B$3:$AG$3=V$16)*($B$5:$AG$7=VLOOKUP($B24,'On call stat'!$S$3:$T$10,2,FALSE)))&gt;0,"D","DO"),"DO"))))))),
IF($B24="Huang Huanrao, Yoyo",IF(MOD(V$13,2)=1,"D1","B6"),
IF($B24="Lee Ka Po, Kathy",IF(MOD(V$13,2)=0,"D1","B6"),
IFERROR(IF(SUMPRODUCT(($B$3:$AG$3=V$16)*($B$5:$AG$7=VLOOKUP($B24,'On call stat'!$S$3:$T$10,2,FALSE)))&gt;0,"E","D"),"D"))))))))</f>
        <v>DO</v>
      </c>
      <c r="W24" s="40" t="str">
        <f>IF(COUNTIF(PH!$A:$A,W$16)&gt;0,"PH",
IF(AND(SUMPRODUCT(($B$9:$AG$10=IFERROR(VLOOKUP($B24,'On call stat'!$S$3:$T$20,2,FALSE),""))*($B$3:$AG$3=W$16))&gt;0,OR(WEEKDAY(W$16,2)=6,),OR($B24="Chan, Man Wai",$B24="Ng Suet Ping, Yoko",$B24="Li Mui Ying",$B24="Lee Ka Po, Kathy",$B24="Huang Huanrao, Yoyo")),"HDAL",
IF(OR(WEEKDAY(W$16,2)=7,AND(WEEKDAY(W$16,2)=6,SUMPRODUCT(($B$9:$AG$10=IFERROR(VLOOKUP($B24,'On call stat'!$S$3:$T$20,2,FALSE),""))*($B$3:$AG$3=W$16))&gt;0)),"DO",
IF(SUMPRODUCT(($B$9:$AG$10=IFERROR(VLOOKUP($B24,'On call stat'!$S$3:$T$20,2,FALSE),""))*($B$3:$AG$3=W$16))&gt;0,"AL",
IF(WEEKDAY(W$16,2)=6,
IF($B24="Chan, Man Wai","HD",
IF($B24="Ng Suet Ping, Yoko","HD",
IF($B24="Li Mui Ying","HD1",
IF($B24="Huang Huanrao, Yoyo",IF(MOD(W$13,2)=1,"HD2",IFERROR(IF(SUMPRODUCT(($B$3:$AG$3=W$16)*($B$5:$AG$7=VLOOKUP($B24,'On call stat'!$S$3:$T$10,2,FALSE)))&gt;0,"D","DO"),"DO")),
IF($B24="Lee Ka Po, Kathy",IF(MOD(W$13,2)=0,"HD2",IFERROR(IF(SUMPRODUCT(($B$3:$AG$3=W$16)*($B$5:$AG$7=VLOOKUP($B24,'On call stat'!$S$3:$T$10,2,FALSE)))&gt;0,"D","DO"),"DO")),
IF($B24="Fan Hoi Wan, Ivy",IF(MOD(W$13,2)=0,"D",IFERROR(IF(SUMPRODUCT(($B$3:$AG$3=W$16)*($B$5:$AG$7=VLOOKUP($B24,'On call stat'!$S$3:$T$10,2,FALSE)))&gt;0,"D","DO"),"DO")),
IFERROR(IF(SUMPRODUCT(($B$3:$AG$3=W$16)*($B$5:$AG$7=VLOOKUP($B24,'On call stat'!$S$3:$T$10,2,FALSE)))&gt;0,"D","DO"),"DO"))))))),
IF($B24="Huang Huanrao, Yoyo",IF(MOD(W$13,2)=1,"D1","B6"),
IF($B24="Lee Ka Po, Kathy",IF(MOD(W$13,2)=0,"D1","B6"),
IFERROR(IF(SUMPRODUCT(($B$3:$AG$3=W$16)*($B$5:$AG$7=VLOOKUP($B24,'On call stat'!$S$3:$T$10,2,FALSE)))&gt;0,"E","D"),"D"))))))))</f>
        <v>D</v>
      </c>
      <c r="X24" s="40" t="str">
        <f>IF(COUNTIF(PH!$A:$A,X$16)&gt;0,"PH",
IF(AND(SUMPRODUCT(($B$9:$AG$10=IFERROR(VLOOKUP($B24,'On call stat'!$S$3:$T$20,2,FALSE),""))*($B$3:$AG$3=X$16))&gt;0,OR(WEEKDAY(X$16,2)=6,),OR($B24="Chan, Man Wai",$B24="Ng Suet Ping, Yoko",$B24="Li Mui Ying",$B24="Lee Ka Po, Kathy",$B24="Huang Huanrao, Yoyo")),"HDAL",
IF(OR(WEEKDAY(X$16,2)=7,AND(WEEKDAY(X$16,2)=6,SUMPRODUCT(($B$9:$AG$10=IFERROR(VLOOKUP($B24,'On call stat'!$S$3:$T$20,2,FALSE),""))*($B$3:$AG$3=X$16))&gt;0)),"DO",
IF(SUMPRODUCT(($B$9:$AG$10=IFERROR(VLOOKUP($B24,'On call stat'!$S$3:$T$20,2,FALSE),""))*($B$3:$AG$3=X$16))&gt;0,"AL",
IF(WEEKDAY(X$16,2)=6,
IF($B24="Chan, Man Wai","HD",
IF($B24="Ng Suet Ping, Yoko","HD",
IF($B24="Li Mui Ying","HD1",
IF($B24="Huang Huanrao, Yoyo",IF(MOD(X$13,2)=1,"HD2",IFERROR(IF(SUMPRODUCT(($B$3:$AG$3=X$16)*($B$5:$AG$7=VLOOKUP($B24,'On call stat'!$S$3:$T$10,2,FALSE)))&gt;0,"D","DO"),"DO")),
IF($B24="Lee Ka Po, Kathy",IF(MOD(X$13,2)=0,"HD2",IFERROR(IF(SUMPRODUCT(($B$3:$AG$3=X$16)*($B$5:$AG$7=VLOOKUP($B24,'On call stat'!$S$3:$T$10,2,FALSE)))&gt;0,"D","DO"),"DO")),
IF($B24="Fan Hoi Wan, Ivy",IF(MOD(X$13,2)=0,"D",IFERROR(IF(SUMPRODUCT(($B$3:$AG$3=X$16)*($B$5:$AG$7=VLOOKUP($B24,'On call stat'!$S$3:$T$10,2,FALSE)))&gt;0,"D","DO"),"DO")),
IFERROR(IF(SUMPRODUCT(($B$3:$AG$3=X$16)*($B$5:$AG$7=VLOOKUP($B24,'On call stat'!$S$3:$T$10,2,FALSE)))&gt;0,"D","DO"),"DO"))))))),
IF($B24="Huang Huanrao, Yoyo",IF(MOD(X$13,2)=1,"D1","B6"),
IF($B24="Lee Ka Po, Kathy",IF(MOD(X$13,2)=0,"D1","B6"),
IFERROR(IF(SUMPRODUCT(($B$3:$AG$3=X$16)*($B$5:$AG$7=VLOOKUP($B24,'On call stat'!$S$3:$T$10,2,FALSE)))&gt;0,"E","D"),"D"))))))))</f>
        <v>D</v>
      </c>
      <c r="Y24" s="40" t="str">
        <f>IF(COUNTIF(PH!$A:$A,Y$16)&gt;0,"PH",
IF(AND(SUMPRODUCT(($B$9:$AG$10=IFERROR(VLOOKUP($B24,'On call stat'!$S$3:$T$20,2,FALSE),""))*($B$3:$AG$3=Y$16))&gt;0,OR(WEEKDAY(Y$16,2)=6,),OR($B24="Chan, Man Wai",$B24="Ng Suet Ping, Yoko",$B24="Li Mui Ying",$B24="Lee Ka Po, Kathy",$B24="Huang Huanrao, Yoyo")),"HDAL",
IF(OR(WEEKDAY(Y$16,2)=7,AND(WEEKDAY(Y$16,2)=6,SUMPRODUCT(($B$9:$AG$10=IFERROR(VLOOKUP($B24,'On call stat'!$S$3:$T$20,2,FALSE),""))*($B$3:$AG$3=Y$16))&gt;0)),"DO",
IF(SUMPRODUCT(($B$9:$AG$10=IFERROR(VLOOKUP($B24,'On call stat'!$S$3:$T$20,2,FALSE),""))*($B$3:$AG$3=Y$16))&gt;0,"AL",
IF(WEEKDAY(Y$16,2)=6,
IF($B24="Chan, Man Wai","HD",
IF($B24="Ng Suet Ping, Yoko","HD",
IF($B24="Li Mui Ying","HD1",
IF($B24="Huang Huanrao, Yoyo",IF(MOD(Y$13,2)=1,"HD2",IFERROR(IF(SUMPRODUCT(($B$3:$AG$3=Y$16)*($B$5:$AG$7=VLOOKUP($B24,'On call stat'!$S$3:$T$10,2,FALSE)))&gt;0,"D","DO"),"DO")),
IF($B24="Lee Ka Po, Kathy",IF(MOD(Y$13,2)=0,"HD2",IFERROR(IF(SUMPRODUCT(($B$3:$AG$3=Y$16)*($B$5:$AG$7=VLOOKUP($B24,'On call stat'!$S$3:$T$10,2,FALSE)))&gt;0,"D","DO"),"DO")),
IF($B24="Fan Hoi Wan, Ivy",IF(MOD(Y$13,2)=0,"D",IFERROR(IF(SUMPRODUCT(($B$3:$AG$3=Y$16)*($B$5:$AG$7=VLOOKUP($B24,'On call stat'!$S$3:$T$10,2,FALSE)))&gt;0,"D","DO"),"DO")),
IFERROR(IF(SUMPRODUCT(($B$3:$AG$3=Y$16)*($B$5:$AG$7=VLOOKUP($B24,'On call stat'!$S$3:$T$10,2,FALSE)))&gt;0,"D","DO"),"DO"))))))),
IF($B24="Huang Huanrao, Yoyo",IF(MOD(Y$13,2)=1,"D1","B6"),
IF($B24="Lee Ka Po, Kathy",IF(MOD(Y$13,2)=0,"D1","B6"),
IFERROR(IF(SUMPRODUCT(($B$3:$AG$3=Y$16)*($B$5:$AG$7=VLOOKUP($B24,'On call stat'!$S$3:$T$10,2,FALSE)))&gt;0,"E","D"),"D"))))))))</f>
        <v>D</v>
      </c>
      <c r="Z24" s="40" t="str">
        <f>IF(COUNTIF(PH!$A:$A,Z$16)&gt;0,"PH",
IF(AND(SUMPRODUCT(($B$9:$AG$10=IFERROR(VLOOKUP($B24,'On call stat'!$S$3:$T$20,2,FALSE),""))*($B$3:$AG$3=Z$16))&gt;0,OR(WEEKDAY(Z$16,2)=6,),OR($B24="Chan, Man Wai",$B24="Ng Suet Ping, Yoko",$B24="Li Mui Ying",$B24="Lee Ka Po, Kathy",$B24="Huang Huanrao, Yoyo")),"HDAL",
IF(OR(WEEKDAY(Z$16,2)=7,AND(WEEKDAY(Z$16,2)=6,SUMPRODUCT(($B$9:$AG$10=IFERROR(VLOOKUP($B24,'On call stat'!$S$3:$T$20,2,FALSE),""))*($B$3:$AG$3=Z$16))&gt;0)),"DO",
IF(SUMPRODUCT(($B$9:$AG$10=IFERROR(VLOOKUP($B24,'On call stat'!$S$3:$T$20,2,FALSE),""))*($B$3:$AG$3=Z$16))&gt;0,"AL",
IF(WEEKDAY(Z$16,2)=6,
IF($B24="Chan, Man Wai","HD",
IF($B24="Ng Suet Ping, Yoko","HD",
IF($B24="Li Mui Ying","HD1",
IF($B24="Huang Huanrao, Yoyo",IF(MOD(Z$13,2)=1,"HD2",IFERROR(IF(SUMPRODUCT(($B$3:$AG$3=Z$16)*($B$5:$AG$7=VLOOKUP($B24,'On call stat'!$S$3:$T$10,2,FALSE)))&gt;0,"D","DO"),"DO")),
IF($B24="Lee Ka Po, Kathy",IF(MOD(Z$13,2)=0,"HD2",IFERROR(IF(SUMPRODUCT(($B$3:$AG$3=Z$16)*($B$5:$AG$7=VLOOKUP($B24,'On call stat'!$S$3:$T$10,2,FALSE)))&gt;0,"D","DO"),"DO")),
IF($B24="Fan Hoi Wan, Ivy",IF(MOD(Z$13,2)=0,"D",IFERROR(IF(SUMPRODUCT(($B$3:$AG$3=Z$16)*($B$5:$AG$7=VLOOKUP($B24,'On call stat'!$S$3:$T$10,2,FALSE)))&gt;0,"D","DO"),"DO")),
IFERROR(IF(SUMPRODUCT(($B$3:$AG$3=Z$16)*($B$5:$AG$7=VLOOKUP($B24,'On call stat'!$S$3:$T$10,2,FALSE)))&gt;0,"D","DO"),"DO"))))))),
IF($B24="Huang Huanrao, Yoyo",IF(MOD(Z$13,2)=1,"D1","B6"),
IF($B24="Lee Ka Po, Kathy",IF(MOD(Z$13,2)=0,"D1","B6"),
IFERROR(IF(SUMPRODUCT(($B$3:$AG$3=Z$16)*($B$5:$AG$7=VLOOKUP($B24,'On call stat'!$S$3:$T$10,2,FALSE)))&gt;0,"E","D"),"D"))))))))</f>
        <v>D</v>
      </c>
      <c r="AA24" s="40" t="str">
        <f>IF(COUNTIF(PH!$A:$A,AA$16)&gt;0,"PH",
IF(AND(SUMPRODUCT(($B$9:$AG$10=IFERROR(VLOOKUP($B24,'On call stat'!$S$3:$T$20,2,FALSE),""))*($B$3:$AG$3=AA$16))&gt;0,OR(WEEKDAY(AA$16,2)=6,),OR($B24="Chan, Man Wai",$B24="Ng Suet Ping, Yoko",$B24="Li Mui Ying",$B24="Lee Ka Po, Kathy",$B24="Huang Huanrao, Yoyo")),"HDAL",
IF(OR(WEEKDAY(AA$16,2)=7,AND(WEEKDAY(AA$16,2)=6,SUMPRODUCT(($B$9:$AG$10=IFERROR(VLOOKUP($B24,'On call stat'!$S$3:$T$20,2,FALSE),""))*($B$3:$AG$3=AA$16))&gt;0)),"DO",
IF(SUMPRODUCT(($B$9:$AG$10=IFERROR(VLOOKUP($B24,'On call stat'!$S$3:$T$20,2,FALSE),""))*($B$3:$AG$3=AA$16))&gt;0,"AL",
IF(WEEKDAY(AA$16,2)=6,
IF($B24="Chan, Man Wai","HD",
IF($B24="Ng Suet Ping, Yoko","HD",
IF($B24="Li Mui Ying","HD1",
IF($B24="Huang Huanrao, Yoyo",IF(MOD(AA$13,2)=1,"HD2",IFERROR(IF(SUMPRODUCT(($B$3:$AG$3=AA$16)*($B$5:$AG$7=VLOOKUP($B24,'On call stat'!$S$3:$T$10,2,FALSE)))&gt;0,"D","DO"),"DO")),
IF($B24="Lee Ka Po, Kathy",IF(MOD(AA$13,2)=0,"HD2",IFERROR(IF(SUMPRODUCT(($B$3:$AG$3=AA$16)*($B$5:$AG$7=VLOOKUP($B24,'On call stat'!$S$3:$T$10,2,FALSE)))&gt;0,"D","DO"),"DO")),
IF($B24="Fan Hoi Wan, Ivy",IF(MOD(AA$13,2)=0,"D",IFERROR(IF(SUMPRODUCT(($B$3:$AG$3=AA$16)*($B$5:$AG$7=VLOOKUP($B24,'On call stat'!$S$3:$T$10,2,FALSE)))&gt;0,"D","DO"),"DO")),
IFERROR(IF(SUMPRODUCT(($B$3:$AG$3=AA$16)*($B$5:$AG$7=VLOOKUP($B24,'On call stat'!$S$3:$T$10,2,FALSE)))&gt;0,"D","DO"),"DO"))))))),
IF($B24="Huang Huanrao, Yoyo",IF(MOD(AA$13,2)=1,"D1","B6"),
IF($B24="Lee Ka Po, Kathy",IF(MOD(AA$13,2)=0,"D1","B6"),
IFERROR(IF(SUMPRODUCT(($B$3:$AG$3=AA$16)*($B$5:$AG$7=VLOOKUP($B24,'On call stat'!$S$3:$T$10,2,FALSE)))&gt;0,"E","D"),"D"))))))))</f>
        <v>PH</v>
      </c>
      <c r="AB24" s="40" t="str">
        <f>IF(COUNTIF(PH!$A:$A,AB$16)&gt;0,"PH",
IF(AND(SUMPRODUCT(($B$9:$AG$10=IFERROR(VLOOKUP($B24,'On call stat'!$S$3:$T$20,2,FALSE),""))*($B$3:$AG$3=AB$16))&gt;0,OR(WEEKDAY(AB$16,2)=6,),OR($B24="Chan, Man Wai",$B24="Ng Suet Ping, Yoko",$B24="Li Mui Ying",$B24="Lee Ka Po, Kathy",$B24="Huang Huanrao, Yoyo")),"HDAL",
IF(OR(WEEKDAY(AB$16,2)=7,AND(WEEKDAY(AB$16,2)=6,SUMPRODUCT(($B$9:$AG$10=IFERROR(VLOOKUP($B24,'On call stat'!$S$3:$T$20,2,FALSE),""))*($B$3:$AG$3=AB$16))&gt;0)),"DO",
IF(SUMPRODUCT(($B$9:$AG$10=IFERROR(VLOOKUP($B24,'On call stat'!$S$3:$T$20,2,FALSE),""))*($B$3:$AG$3=AB$16))&gt;0,"AL",
IF(WEEKDAY(AB$16,2)=6,
IF($B24="Chan, Man Wai","HD",
IF($B24="Ng Suet Ping, Yoko","HD",
IF($B24="Li Mui Ying","HD1",
IF($B24="Huang Huanrao, Yoyo",IF(MOD(AB$13,2)=1,"HD2",IFERROR(IF(SUMPRODUCT(($B$3:$AG$3=AB$16)*($B$5:$AG$7=VLOOKUP($B24,'On call stat'!$S$3:$T$10,2,FALSE)))&gt;0,"D","DO"),"DO")),
IF($B24="Lee Ka Po, Kathy",IF(MOD(AB$13,2)=0,"HD2",IFERROR(IF(SUMPRODUCT(($B$3:$AG$3=AB$16)*($B$5:$AG$7=VLOOKUP($B24,'On call stat'!$S$3:$T$10,2,FALSE)))&gt;0,"D","DO"),"DO")),
IF($B24="Fan Hoi Wan, Ivy",IF(MOD(AB$13,2)=0,"D",IFERROR(IF(SUMPRODUCT(($B$3:$AG$3=AB$16)*($B$5:$AG$7=VLOOKUP($B24,'On call stat'!$S$3:$T$10,2,FALSE)))&gt;0,"D","DO"),"DO")),
IFERROR(IF(SUMPRODUCT(($B$3:$AG$3=AB$16)*($B$5:$AG$7=VLOOKUP($B24,'On call stat'!$S$3:$T$10,2,FALSE)))&gt;0,"D","DO"),"DO"))))))),
IF($B24="Huang Huanrao, Yoyo",IF(MOD(AB$13,2)=1,"D1","B6"),
IF($B24="Lee Ka Po, Kathy",IF(MOD(AB$13,2)=0,"D1","B6"),
IFERROR(IF(SUMPRODUCT(($B$3:$AG$3=AB$16)*($B$5:$AG$7=VLOOKUP($B24,'On call stat'!$S$3:$T$10,2,FALSE)))&gt;0,"E","D"),"D"))))))))</f>
        <v>PH</v>
      </c>
      <c r="AC24" s="40" t="str">
        <f>IF(COUNTIF(PH!$A:$A,AC$16)&gt;0,"PH",
IF(AND(SUMPRODUCT(($B$9:$AG$10=IFERROR(VLOOKUP($B24,'On call stat'!$S$3:$T$20,2,FALSE),""))*($B$3:$AG$3=AC$16))&gt;0,OR(WEEKDAY(AC$16,2)=6,),OR($B24="Chan, Man Wai",$B24="Ng Suet Ping, Yoko",$B24="Li Mui Ying",$B24="Lee Ka Po, Kathy",$B24="Huang Huanrao, Yoyo")),"HDAL",
IF(OR(WEEKDAY(AC$16,2)=7,AND(WEEKDAY(AC$16,2)=6,SUMPRODUCT(($B$9:$AG$10=IFERROR(VLOOKUP($B24,'On call stat'!$S$3:$T$20,2,FALSE),""))*($B$3:$AG$3=AC$16))&gt;0)),"DO",
IF(SUMPRODUCT(($B$9:$AG$10=IFERROR(VLOOKUP($B24,'On call stat'!$S$3:$T$20,2,FALSE),""))*($B$3:$AG$3=AC$16))&gt;0,"AL",
IF(WEEKDAY(AC$16,2)=6,
IF($B24="Chan, Man Wai","HD",
IF($B24="Ng Suet Ping, Yoko","HD",
IF($B24="Li Mui Ying","HD1",
IF($B24="Huang Huanrao, Yoyo",IF(MOD(AC$13,2)=1,"HD2",IFERROR(IF(SUMPRODUCT(($B$3:$AG$3=AC$16)*($B$5:$AG$7=VLOOKUP($B24,'On call stat'!$S$3:$T$10,2,FALSE)))&gt;0,"D","DO"),"DO")),
IF($B24="Lee Ka Po, Kathy",IF(MOD(AC$13,2)=0,"HD2",IFERROR(IF(SUMPRODUCT(($B$3:$AG$3=AC$16)*($B$5:$AG$7=VLOOKUP($B24,'On call stat'!$S$3:$T$10,2,FALSE)))&gt;0,"D","DO"),"DO")),
IF($B24="Fan Hoi Wan, Ivy",IF(MOD(AC$13,2)=0,"D",IFERROR(IF(SUMPRODUCT(($B$3:$AG$3=AC$16)*($B$5:$AG$7=VLOOKUP($B24,'On call stat'!$S$3:$T$10,2,FALSE)))&gt;0,"D","DO"),"DO")),
IFERROR(IF(SUMPRODUCT(($B$3:$AG$3=AC$16)*($B$5:$AG$7=VLOOKUP($B24,'On call stat'!$S$3:$T$10,2,FALSE)))&gt;0,"D","DO"),"DO"))))))),
IF($B24="Huang Huanrao, Yoyo",IF(MOD(AC$13,2)=1,"D1","B6"),
IF($B24="Lee Ka Po, Kathy",IF(MOD(AC$13,2)=0,"D1","B6"),
IFERROR(IF(SUMPRODUCT(($B$3:$AG$3=AC$16)*($B$5:$AG$7=VLOOKUP($B24,'On call stat'!$S$3:$T$10,2,FALSE)))&gt;0,"E","D"),"D"))))))))</f>
        <v>DO</v>
      </c>
      <c r="AD24" s="40" t="str">
        <f>IF(COUNTIF(PH!$A:$A,AD$16)&gt;0,"PH",
IF(AND(SUMPRODUCT(($B$9:$AG$10=IFERROR(VLOOKUP($B24,'On call stat'!$S$3:$T$20,2,FALSE),""))*($B$3:$AG$3=AD$16))&gt;0,OR(WEEKDAY(AD$16,2)=6,),OR($B24="Chan, Man Wai",$B24="Ng Suet Ping, Yoko",$B24="Li Mui Ying",$B24="Lee Ka Po, Kathy",$B24="Huang Huanrao, Yoyo")),"HDAL",
IF(OR(WEEKDAY(AD$16,2)=7,AND(WEEKDAY(AD$16,2)=6,SUMPRODUCT(($B$9:$AG$10=IFERROR(VLOOKUP($B24,'On call stat'!$S$3:$T$20,2,FALSE),""))*($B$3:$AG$3=AD$16))&gt;0)),"DO",
IF(SUMPRODUCT(($B$9:$AG$10=IFERROR(VLOOKUP($B24,'On call stat'!$S$3:$T$20,2,FALSE),""))*($B$3:$AG$3=AD$16))&gt;0,"AL",
IF(WEEKDAY(AD$16,2)=6,
IF($B24="Chan, Man Wai","HD",
IF($B24="Ng Suet Ping, Yoko","HD",
IF($B24="Li Mui Ying","HD1",
IF($B24="Huang Huanrao, Yoyo",IF(MOD(AD$13,2)=1,"HD2",IFERROR(IF(SUMPRODUCT(($B$3:$AG$3=AD$16)*($B$5:$AG$7=VLOOKUP($B24,'On call stat'!$S$3:$T$10,2,FALSE)))&gt;0,"D","DO"),"DO")),
IF($B24="Lee Ka Po, Kathy",IF(MOD(AD$13,2)=0,"HD2",IFERROR(IF(SUMPRODUCT(($B$3:$AG$3=AD$16)*($B$5:$AG$7=VLOOKUP($B24,'On call stat'!$S$3:$T$10,2,FALSE)))&gt;0,"D","DO"),"DO")),
IF($B24="Fan Hoi Wan, Ivy",IF(MOD(AD$13,2)=0,"D",IFERROR(IF(SUMPRODUCT(($B$3:$AG$3=AD$16)*($B$5:$AG$7=VLOOKUP($B24,'On call stat'!$S$3:$T$10,2,FALSE)))&gt;0,"D","DO"),"DO")),
IFERROR(IF(SUMPRODUCT(($B$3:$AG$3=AD$16)*($B$5:$AG$7=VLOOKUP($B24,'On call stat'!$S$3:$T$10,2,FALSE)))&gt;0,"D","DO"),"DO"))))))),
IF($B24="Huang Huanrao, Yoyo",IF(MOD(AD$13,2)=1,"D1","B6"),
IF($B24="Lee Ka Po, Kathy",IF(MOD(AD$13,2)=0,"D1","B6"),
IFERROR(IF(SUMPRODUCT(($B$3:$AG$3=AD$16)*($B$5:$AG$7=VLOOKUP($B24,'On call stat'!$S$3:$T$10,2,FALSE)))&gt;0,"E","D"),"D"))))))))</f>
        <v>E</v>
      </c>
      <c r="AE24" s="40" t="str">
        <f>IF(COUNTIF(PH!$A:$A,AE$16)&gt;0,"PH",
IF(AND(SUMPRODUCT(($B$9:$AG$10=IFERROR(VLOOKUP($B24,'On call stat'!$S$3:$T$20,2,FALSE),""))*($B$3:$AG$3=AE$16))&gt;0,OR(WEEKDAY(AE$16,2)=6,),OR($B24="Chan, Man Wai",$B24="Ng Suet Ping, Yoko",$B24="Li Mui Ying",$B24="Lee Ka Po, Kathy",$B24="Huang Huanrao, Yoyo")),"HDAL",
IF(OR(WEEKDAY(AE$16,2)=7,AND(WEEKDAY(AE$16,2)=6,SUMPRODUCT(($B$9:$AG$10=IFERROR(VLOOKUP($B24,'On call stat'!$S$3:$T$20,2,FALSE),""))*($B$3:$AG$3=AE$16))&gt;0)),"DO",
IF(SUMPRODUCT(($B$9:$AG$10=IFERROR(VLOOKUP($B24,'On call stat'!$S$3:$T$20,2,FALSE),""))*($B$3:$AG$3=AE$16))&gt;0,"AL",
IF(WEEKDAY(AE$16,2)=6,
IF($B24="Chan, Man Wai","HD",
IF($B24="Ng Suet Ping, Yoko","HD",
IF($B24="Li Mui Ying","HD1",
IF($B24="Huang Huanrao, Yoyo",IF(MOD(AE$13,2)=1,"HD2",IFERROR(IF(SUMPRODUCT(($B$3:$AG$3=AE$16)*($B$5:$AG$7=VLOOKUP($B24,'On call stat'!$S$3:$T$10,2,FALSE)))&gt;0,"D","DO"),"DO")),
IF($B24="Lee Ka Po, Kathy",IF(MOD(AE$13,2)=0,"HD2",IFERROR(IF(SUMPRODUCT(($B$3:$AG$3=AE$16)*($B$5:$AG$7=VLOOKUP($B24,'On call stat'!$S$3:$T$10,2,FALSE)))&gt;0,"D","DO"),"DO")),
IF($B24="Fan Hoi Wan, Ivy",IF(MOD(AE$13,2)=0,"D",IFERROR(IF(SUMPRODUCT(($B$3:$AG$3=AE$16)*($B$5:$AG$7=VLOOKUP($B24,'On call stat'!$S$3:$T$10,2,FALSE)))&gt;0,"D","DO"),"DO")),
IFERROR(IF(SUMPRODUCT(($B$3:$AG$3=AE$16)*($B$5:$AG$7=VLOOKUP($B24,'On call stat'!$S$3:$T$10,2,FALSE)))&gt;0,"D","DO"),"DO"))))))),
IF($B24="Huang Huanrao, Yoyo",IF(MOD(AE$13,2)=1,"D1","B6"),
IF($B24="Lee Ka Po, Kathy",IF(MOD(AE$13,2)=0,"D1","B6"),
IFERROR(IF(SUMPRODUCT(($B$3:$AG$3=AE$16)*($B$5:$AG$7=VLOOKUP($B24,'On call stat'!$S$3:$T$10,2,FALSE)))&gt;0,"E","D"),"D"))))))))</f>
        <v>E</v>
      </c>
      <c r="AF24" s="40" t="str">
        <f>IF(COUNTIF(PH!$A:$A,AF$16)&gt;0,"PH",
IF(AND(SUMPRODUCT(($B$9:$AG$10=IFERROR(VLOOKUP($B24,'On call stat'!$S$3:$T$20,2,FALSE),""))*($B$3:$AG$3=AF$16))&gt;0,OR(WEEKDAY(AF$16,2)=6,),OR($B24="Chan, Man Wai",$B24="Ng Suet Ping, Yoko",$B24="Li Mui Ying",$B24="Lee Ka Po, Kathy",$B24="Huang Huanrao, Yoyo")),"HDAL",
IF(OR(WEEKDAY(AF$16,2)=7,AND(WEEKDAY(AF$16,2)=6,SUMPRODUCT(($B$9:$AG$10=IFERROR(VLOOKUP($B24,'On call stat'!$S$3:$T$20,2,FALSE),""))*($B$3:$AG$3=AF$16))&gt;0)),"DO",
IF(SUMPRODUCT(($B$9:$AG$10=IFERROR(VLOOKUP($B24,'On call stat'!$S$3:$T$20,2,FALSE),""))*($B$3:$AG$3=AF$16))&gt;0,"AL",
IF(WEEKDAY(AF$16,2)=6,
IF($B24="Chan, Man Wai","HD",
IF($B24="Ng Suet Ping, Yoko","HD",
IF($B24="Li Mui Ying","HD1",
IF($B24="Huang Huanrao, Yoyo",IF(MOD(AF$13,2)=1,"HD2",IFERROR(IF(SUMPRODUCT(($B$3:$AG$3=AF$16)*($B$5:$AG$7=VLOOKUP($B24,'On call stat'!$S$3:$T$10,2,FALSE)))&gt;0,"D","DO"),"DO")),
IF($B24="Lee Ka Po, Kathy",IF(MOD(AF$13,2)=0,"HD2",IFERROR(IF(SUMPRODUCT(($B$3:$AG$3=AF$16)*($B$5:$AG$7=VLOOKUP($B24,'On call stat'!$S$3:$T$10,2,FALSE)))&gt;0,"D","DO"),"DO")),
IF($B24="Fan Hoi Wan, Ivy",IF(MOD(AF$13,2)=0,"D",IFERROR(IF(SUMPRODUCT(($B$3:$AG$3=AF$16)*($B$5:$AG$7=VLOOKUP($B24,'On call stat'!$S$3:$T$10,2,FALSE)))&gt;0,"D","DO"),"DO")),
IFERROR(IF(SUMPRODUCT(($B$3:$AG$3=AF$16)*($B$5:$AG$7=VLOOKUP($B24,'On call stat'!$S$3:$T$10,2,FALSE)))&gt;0,"D","DO"),"DO"))))))),
IF($B24="Huang Huanrao, Yoyo",IF(MOD(AF$13,2)=1,"D1","B6"),
IF($B24="Lee Ka Po, Kathy",IF(MOD(AF$13,2)=0,"D1","B6"),
IFERROR(IF(SUMPRODUCT(($B$3:$AG$3=AF$16)*($B$5:$AG$7=VLOOKUP($B24,'On call stat'!$S$3:$T$10,2,FALSE)))&gt;0,"E","D"),"D"))))))))</f>
        <v>E</v>
      </c>
      <c r="AG24" s="40" t="str">
        <f>IF(COUNTIF(PH!$A:$A,AG$16)&gt;0,"PH",
IF(AND(SUMPRODUCT(($B$9:$AG$10=IFERROR(VLOOKUP($B24,'On call stat'!$S$3:$T$20,2,FALSE),""))*($B$3:$AG$3=AG$16))&gt;0,OR(WEEKDAY(AG$16,2)=6,),OR($B24="Chan, Man Wai",$B24="Ng Suet Ping, Yoko",$B24="Li Mui Ying",$B24="Lee Ka Po, Kathy",$B24="Huang Huanrao, Yoyo")),"HDAL",
IF(OR(WEEKDAY(AG$16,2)=7,AND(WEEKDAY(AG$16,2)=6,SUMPRODUCT(($B$9:$AG$10=IFERROR(VLOOKUP($B24,'On call stat'!$S$3:$T$20,2,FALSE),""))*($B$3:$AG$3=AG$16))&gt;0)),"DO",
IF(SUMPRODUCT(($B$9:$AG$10=IFERROR(VLOOKUP($B24,'On call stat'!$S$3:$T$20,2,FALSE),""))*($B$3:$AG$3=AG$16))&gt;0,"AL",
IF(WEEKDAY(AG$16,2)=6,
IF($B24="Chan, Man Wai","HD",
IF($B24="Ng Suet Ping, Yoko","HD",
IF($B24="Li Mui Ying","HD1",
IF($B24="Huang Huanrao, Yoyo",IF(MOD(AG$13,2)=1,"HD2",IFERROR(IF(SUMPRODUCT(($B$3:$AG$3=AG$16)*($B$5:$AG$7=VLOOKUP($B24,'On call stat'!$S$3:$T$10,2,FALSE)))&gt;0,"D","DO"),"DO")),
IF($B24="Lee Ka Po, Kathy",IF(MOD(AG$13,2)=0,"HD2",IFERROR(IF(SUMPRODUCT(($B$3:$AG$3=AG$16)*($B$5:$AG$7=VLOOKUP($B24,'On call stat'!$S$3:$T$10,2,FALSE)))&gt;0,"D","DO"),"DO")),
IF($B24="Fan Hoi Wan, Ivy",IF(MOD(AG$13,2)=0,"D",IFERROR(IF(SUMPRODUCT(($B$3:$AG$3=AG$16)*($B$5:$AG$7=VLOOKUP($B24,'On call stat'!$S$3:$T$10,2,FALSE)))&gt;0,"D","DO"),"DO")),
IFERROR(IF(SUMPRODUCT(($B$3:$AG$3=AG$16)*($B$5:$AG$7=VLOOKUP($B24,'On call stat'!$S$3:$T$10,2,FALSE)))&gt;0,"D","DO"),"DO"))))))),
IF($B24="Huang Huanrao, Yoyo",IF(MOD(AG$13,2)=1,"D1","B6"),
IF($B24="Lee Ka Po, Kathy",IF(MOD(AG$13,2)=0,"D1","B6"),
IFERROR(IF(SUMPRODUCT(($B$3:$AG$3=AG$16)*($B$5:$AG$7=VLOOKUP($B24,'On call stat'!$S$3:$T$10,2,FALSE)))&gt;0,"E","D"),"D"))))))))</f>
        <v>E</v>
      </c>
      <c r="AK24" s="11" t="s">
        <v>25</v>
      </c>
      <c r="AL24" s="65">
        <f t="shared" si="4"/>
        <v>192</v>
      </c>
      <c r="AM24" s="66" cm="1">
        <f t="array" ref="AM24">SUMPRODUCT((C24:AG24="AL") *  (COUNTIF(PH!$A:$A, C$16:AG$16)=0) *(WEEKDAY(C$16:AG$16,2)&lt;=5) *  8)+SUMPRODUCT((C24:AG24="HDAL") *  (COUNTIF(PH!$A:$A, C$16:AG$16)=0) *(WEEKDAY(C$16:AG$16,2)&lt;=6) *  4)</f>
        <v>0</v>
      </c>
      <c r="AN24" s="68">
        <f t="shared" si="5"/>
        <v>192</v>
      </c>
      <c r="AO24" s="67">
        <f>AN24-$AN$18-4</f>
        <v>0</v>
      </c>
      <c r="AP24" s="67">
        <f>AO24+Nov!AP24</f>
        <v>4</v>
      </c>
    </row>
    <row r="25" spans="1:42" ht="37.5" customHeight="1" thickBot="1">
      <c r="A25" s="23" t="s">
        <v>57</v>
      </c>
      <c r="B25" s="22" t="s">
        <v>117</v>
      </c>
      <c r="C25" s="40" t="str">
        <f>IF(COUNTIF(PH!$A:$A,C$16)&gt;0,"PH",
IF(AND(SUMPRODUCT(($B$9:$AG$10=IFERROR(VLOOKUP($B25,'On call stat'!$S$3:$T$20,2,FALSE),""))*($B$3:$AG$3=C$16))&gt;0,OR(WEEKDAY(C$16,2)=6,),OR($B25="Chan, Man Wai",$B25="Ng Suet Ping, Yoko",$B25="Li Mui Ying",$B25="Lee Ka Po, Kathy",$B25="Huang Huanrao, Yoyo")),"HDAL",
IF(OR(WEEKDAY(C$16,2)=7,AND(WEEKDAY(C$16,2)=6,SUMPRODUCT(($B$9:$AG$10=IFERROR(VLOOKUP($B25,'On call stat'!$S$3:$T$20,2,FALSE),""))*($B$3:$AG$3=C$16))&gt;0)),"DO",
IF(SUMPRODUCT(($B$9:$AG$10=IFERROR(VLOOKUP($B25,'On call stat'!$S$3:$T$20,2,FALSE),""))*($B$3:$AG$3=C$16))&gt;0,"AL",
IF(WEEKDAY(C$16,2)=6,
IF($B25="Chan, Man Wai","HD",
IF($B25="Ng Suet Ping, Yoko","HD",
IF($B25="Li Mui Ying","HD1",
IF($B25="Huang Huanrao, Yoyo",IF(MOD(C$13,2)=1,"HD2",IFERROR(IF(SUMPRODUCT(($B$3:$AG$3=C$16)*($B$5:$AG$7=VLOOKUP($B25,'On call stat'!$S$3:$T$10,2,FALSE)))&gt;0,"D","DO"),"DO")),
IF($B25="Lee Ka Po, Kathy",IF(MOD(C$13,2)=0,"HD2",IFERROR(IF(SUMPRODUCT(($B$3:$AG$3=C$16)*($B$5:$AG$7=VLOOKUP($B25,'On call stat'!$S$3:$T$10,2,FALSE)))&gt;0,"D","DO"),"DO")),
IF($B25="Fan Hoi Wan, Ivy",IF(MOD(C$13,2)=0,"D",IFERROR(IF(SUMPRODUCT(($B$3:$AG$3=C$16)*($B$5:$AG$7=VLOOKUP($B25,'On call stat'!$S$3:$T$10,2,FALSE)))&gt;0,"D","DO"),"DO")),
IFERROR(IF(SUMPRODUCT(($B$3:$AG$3=C$16)*($B$5:$AG$7=VLOOKUP($B25,'On call stat'!$S$3:$T$10,2,FALSE)))&gt;0,"D","DO"),"DO"))))))),
IF($B25="Huang Huanrao, Yoyo",IF(MOD(C$13,2)=1,"D1","B6"),
IF($B25="Lee Ka Po, Kathy",IF(MOD(C$13,2)=0,"D1","B6"),
IFERROR(IF(SUMPRODUCT(($B$3:$AG$3=C$16)*($B$5:$AG$7=VLOOKUP($B25,'On call stat'!$S$3:$T$10,2,FALSE)))&gt;0,"E","D"),"D"))))))))</f>
        <v>D</v>
      </c>
      <c r="D25" s="40" t="str">
        <f>IF(COUNTIF(PH!$A:$A,D$16)&gt;0,"PH",
IF(AND(SUMPRODUCT(($B$9:$AG$10=IFERROR(VLOOKUP($B25,'On call stat'!$S$3:$T$20,2,FALSE),""))*($B$3:$AG$3=D$16))&gt;0,OR(WEEKDAY(D$16,2)=6,),OR($B25="Chan, Man Wai",$B25="Ng Suet Ping, Yoko",$B25="Li Mui Ying",$B25="Lee Ka Po, Kathy",$B25="Huang Huanrao, Yoyo")),"HDAL",
IF(OR(WEEKDAY(D$16,2)=7,AND(WEEKDAY(D$16,2)=6,SUMPRODUCT(($B$9:$AG$10=IFERROR(VLOOKUP($B25,'On call stat'!$S$3:$T$20,2,FALSE),""))*($B$3:$AG$3=D$16))&gt;0)),"DO",
IF(SUMPRODUCT(($B$9:$AG$10=IFERROR(VLOOKUP($B25,'On call stat'!$S$3:$T$20,2,FALSE),""))*($B$3:$AG$3=D$16))&gt;0,"AL",
IF(WEEKDAY(D$16,2)=6,
IF($B25="Chan, Man Wai","HD",
IF($B25="Ng Suet Ping, Yoko","HD",
IF($B25="Li Mui Ying","HD1",
IF($B25="Huang Huanrao, Yoyo",IF(MOD(D$13,2)=1,"HD2",IFERROR(IF(SUMPRODUCT(($B$3:$AG$3=D$16)*($B$5:$AG$7=VLOOKUP($B25,'On call stat'!$S$3:$T$10,2,FALSE)))&gt;0,"D","DO"),"DO")),
IF($B25="Lee Ka Po, Kathy",IF(MOD(D$13,2)=0,"HD2",IFERROR(IF(SUMPRODUCT(($B$3:$AG$3=D$16)*($B$5:$AG$7=VLOOKUP($B25,'On call stat'!$S$3:$T$10,2,FALSE)))&gt;0,"D","DO"),"DO")),
IF($B25="Fan Hoi Wan, Ivy",IF(MOD(D$13,2)=0,"D",IFERROR(IF(SUMPRODUCT(($B$3:$AG$3=D$16)*($B$5:$AG$7=VLOOKUP($B25,'On call stat'!$S$3:$T$10,2,FALSE)))&gt;0,"D","DO"),"DO")),
IFERROR(IF(SUMPRODUCT(($B$3:$AG$3=D$16)*($B$5:$AG$7=VLOOKUP($B25,'On call stat'!$S$3:$T$10,2,FALSE)))&gt;0,"D","DO"),"DO"))))))),
IF($B25="Huang Huanrao, Yoyo",IF(MOD(D$13,2)=1,"D1","B6"),
IF($B25="Lee Ka Po, Kathy",IF(MOD(D$13,2)=0,"D1","B6"),
IFERROR(IF(SUMPRODUCT(($B$3:$AG$3=D$16)*($B$5:$AG$7=VLOOKUP($B25,'On call stat'!$S$3:$T$10,2,FALSE)))&gt;0,"E","D"),"D"))))))))</f>
        <v>D</v>
      </c>
      <c r="E25" s="40" t="str">
        <f>IF(COUNTIF(PH!$A:$A,E$16)&gt;0,"PH",
IF(AND(SUMPRODUCT(($B$9:$AG$10=IFERROR(VLOOKUP($B25,'On call stat'!$S$3:$T$20,2,FALSE),""))*($B$3:$AG$3=E$16))&gt;0,OR(WEEKDAY(E$16,2)=6,),OR($B25="Chan, Man Wai",$B25="Ng Suet Ping, Yoko",$B25="Li Mui Ying",$B25="Lee Ka Po, Kathy",$B25="Huang Huanrao, Yoyo")),"HDAL",
IF(OR(WEEKDAY(E$16,2)=7,AND(WEEKDAY(E$16,2)=6,SUMPRODUCT(($B$9:$AG$10=IFERROR(VLOOKUP($B25,'On call stat'!$S$3:$T$20,2,FALSE),""))*($B$3:$AG$3=E$16))&gt;0)),"DO",
IF(SUMPRODUCT(($B$9:$AG$10=IFERROR(VLOOKUP($B25,'On call stat'!$S$3:$T$20,2,FALSE),""))*($B$3:$AG$3=E$16))&gt;0,"AL",
IF(WEEKDAY(E$16,2)=6,
IF($B25="Chan, Man Wai","HD",
IF($B25="Ng Suet Ping, Yoko","HD",
IF($B25="Li Mui Ying","HD1",
IF($B25="Huang Huanrao, Yoyo",IF(MOD(E$13,2)=1,"HD2",IFERROR(IF(SUMPRODUCT(($B$3:$AG$3=E$16)*($B$5:$AG$7=VLOOKUP($B25,'On call stat'!$S$3:$T$10,2,FALSE)))&gt;0,"D","DO"),"DO")),
IF($B25="Lee Ka Po, Kathy",IF(MOD(E$13,2)=0,"HD2",IFERROR(IF(SUMPRODUCT(($B$3:$AG$3=E$16)*($B$5:$AG$7=VLOOKUP($B25,'On call stat'!$S$3:$T$10,2,FALSE)))&gt;0,"D","DO"),"DO")),
IF($B25="Fan Hoi Wan, Ivy",IF(MOD(E$13,2)=0,"D",IFERROR(IF(SUMPRODUCT(($B$3:$AG$3=E$16)*($B$5:$AG$7=VLOOKUP($B25,'On call stat'!$S$3:$T$10,2,FALSE)))&gt;0,"D","DO"),"DO")),
IFERROR(IF(SUMPRODUCT(($B$3:$AG$3=E$16)*($B$5:$AG$7=VLOOKUP($B25,'On call stat'!$S$3:$T$10,2,FALSE)))&gt;0,"D","DO"),"DO"))))))),
IF($B25="Huang Huanrao, Yoyo",IF(MOD(E$13,2)=1,"D1","B6"),
IF($B25="Lee Ka Po, Kathy",IF(MOD(E$13,2)=0,"D1","B6"),
IFERROR(IF(SUMPRODUCT(($B$3:$AG$3=E$16)*($B$5:$AG$7=VLOOKUP($B25,'On call stat'!$S$3:$T$10,2,FALSE)))&gt;0,"E","D"),"D"))))))))</f>
        <v>D</v>
      </c>
      <c r="F25" s="40" t="str">
        <f>IF(COUNTIF(PH!$A:$A,F$16)&gt;0,"PH",
IF(AND(SUMPRODUCT(($B$9:$AG$10=IFERROR(VLOOKUP($B25,'On call stat'!$S$3:$T$20,2,FALSE),""))*($B$3:$AG$3=F$16))&gt;0,OR(WEEKDAY(F$16,2)=6,),OR($B25="Chan, Man Wai",$B25="Ng Suet Ping, Yoko",$B25="Li Mui Ying",$B25="Lee Ka Po, Kathy",$B25="Huang Huanrao, Yoyo")),"HDAL",
IF(OR(WEEKDAY(F$16,2)=7,AND(WEEKDAY(F$16,2)=6,SUMPRODUCT(($B$9:$AG$10=IFERROR(VLOOKUP($B25,'On call stat'!$S$3:$T$20,2,FALSE),""))*($B$3:$AG$3=F$16))&gt;0)),"DO",
IF(SUMPRODUCT(($B$9:$AG$10=IFERROR(VLOOKUP($B25,'On call stat'!$S$3:$T$20,2,FALSE),""))*($B$3:$AG$3=F$16))&gt;0,"AL",
IF(WEEKDAY(F$16,2)=6,
IF($B25="Chan, Man Wai","HD",
IF($B25="Ng Suet Ping, Yoko","HD",
IF($B25="Li Mui Ying","HD1",
IF($B25="Huang Huanrao, Yoyo",IF(MOD(F$13,2)=1,"HD2",IFERROR(IF(SUMPRODUCT(($B$3:$AG$3=F$16)*($B$5:$AG$7=VLOOKUP($B25,'On call stat'!$S$3:$T$10,2,FALSE)))&gt;0,"D","DO"),"DO")),
IF($B25="Lee Ka Po, Kathy",IF(MOD(F$13,2)=0,"HD2",IFERROR(IF(SUMPRODUCT(($B$3:$AG$3=F$16)*($B$5:$AG$7=VLOOKUP($B25,'On call stat'!$S$3:$T$10,2,FALSE)))&gt;0,"D","DO"),"DO")),
IF($B25="Fan Hoi Wan, Ivy",IF(MOD(F$13,2)=0,"D",IFERROR(IF(SUMPRODUCT(($B$3:$AG$3=F$16)*($B$5:$AG$7=VLOOKUP($B25,'On call stat'!$S$3:$T$10,2,FALSE)))&gt;0,"D","DO"),"DO")),
IFERROR(IF(SUMPRODUCT(($B$3:$AG$3=F$16)*($B$5:$AG$7=VLOOKUP($B25,'On call stat'!$S$3:$T$10,2,FALSE)))&gt;0,"D","DO"),"DO"))))))),
IF($B25="Huang Huanrao, Yoyo",IF(MOD(F$13,2)=1,"D1","B6"),
IF($B25="Lee Ka Po, Kathy",IF(MOD(F$13,2)=0,"D1","B6"),
IFERROR(IF(SUMPRODUCT(($B$3:$AG$3=F$16)*($B$5:$AG$7=VLOOKUP($B25,'On call stat'!$S$3:$T$10,2,FALSE)))&gt;0,"E","D"),"D"))))))))</f>
        <v>D</v>
      </c>
      <c r="G25" s="40" t="str">
        <f>IF(COUNTIF(PH!$A:$A,G$16)&gt;0,"PH",
IF(AND(SUMPRODUCT(($B$9:$AG$10=IFERROR(VLOOKUP($B25,'On call stat'!$S$3:$T$20,2,FALSE),""))*($B$3:$AG$3=G$16))&gt;0,OR(WEEKDAY(G$16,2)=6,),OR($B25="Chan, Man Wai",$B25="Ng Suet Ping, Yoko",$B25="Li Mui Ying",$B25="Lee Ka Po, Kathy",$B25="Huang Huanrao, Yoyo")),"HDAL",
IF(OR(WEEKDAY(G$16,2)=7,AND(WEEKDAY(G$16,2)=6,SUMPRODUCT(($B$9:$AG$10=IFERROR(VLOOKUP($B25,'On call stat'!$S$3:$T$20,2,FALSE),""))*($B$3:$AG$3=G$16))&gt;0)),"DO",
IF(SUMPRODUCT(($B$9:$AG$10=IFERROR(VLOOKUP($B25,'On call stat'!$S$3:$T$20,2,FALSE),""))*($B$3:$AG$3=G$16))&gt;0,"AL",
IF(WEEKDAY(G$16,2)=6,
IF($B25="Chan, Man Wai","HD",
IF($B25="Ng Suet Ping, Yoko","HD",
IF($B25="Li Mui Ying","HD1",
IF($B25="Huang Huanrao, Yoyo",IF(MOD(G$13,2)=1,"HD2",IFERROR(IF(SUMPRODUCT(($B$3:$AG$3=G$16)*($B$5:$AG$7=VLOOKUP($B25,'On call stat'!$S$3:$T$10,2,FALSE)))&gt;0,"D","DO"),"DO")),
IF($B25="Lee Ka Po, Kathy",IF(MOD(G$13,2)=0,"HD2",IFERROR(IF(SUMPRODUCT(($B$3:$AG$3=G$16)*($B$5:$AG$7=VLOOKUP($B25,'On call stat'!$S$3:$T$10,2,FALSE)))&gt;0,"D","DO"),"DO")),
IF($B25="Fan Hoi Wan, Ivy",IF(MOD(G$13,2)=0,"D",IFERROR(IF(SUMPRODUCT(($B$3:$AG$3=G$16)*($B$5:$AG$7=VLOOKUP($B25,'On call stat'!$S$3:$T$10,2,FALSE)))&gt;0,"D","DO"),"DO")),
IFERROR(IF(SUMPRODUCT(($B$3:$AG$3=G$16)*($B$5:$AG$7=VLOOKUP($B25,'On call stat'!$S$3:$T$10,2,FALSE)))&gt;0,"D","DO"),"DO"))))))),
IF($B25="Huang Huanrao, Yoyo",IF(MOD(G$13,2)=1,"D1","B6"),
IF($B25="Lee Ka Po, Kathy",IF(MOD(G$13,2)=0,"D1","B6"),
IFERROR(IF(SUMPRODUCT(($B$3:$AG$3=G$16)*($B$5:$AG$7=VLOOKUP($B25,'On call stat'!$S$3:$T$10,2,FALSE)))&gt;0,"E","D"),"D"))))))))</f>
        <v>DO</v>
      </c>
      <c r="H25" s="40" t="str">
        <f>IF(COUNTIF(PH!$A:$A,H$16)&gt;0,"PH",
IF(AND(SUMPRODUCT(($B$9:$AG$10=IFERROR(VLOOKUP($B25,'On call stat'!$S$3:$T$20,2,FALSE),""))*($B$3:$AG$3=H$16))&gt;0,OR(WEEKDAY(H$16,2)=6,),OR($B25="Chan, Man Wai",$B25="Ng Suet Ping, Yoko",$B25="Li Mui Ying",$B25="Lee Ka Po, Kathy",$B25="Huang Huanrao, Yoyo")),"HDAL",
IF(OR(WEEKDAY(H$16,2)=7,AND(WEEKDAY(H$16,2)=6,SUMPRODUCT(($B$9:$AG$10=IFERROR(VLOOKUP($B25,'On call stat'!$S$3:$T$20,2,FALSE),""))*($B$3:$AG$3=H$16))&gt;0)),"DO",
IF(SUMPRODUCT(($B$9:$AG$10=IFERROR(VLOOKUP($B25,'On call stat'!$S$3:$T$20,2,FALSE),""))*($B$3:$AG$3=H$16))&gt;0,"AL",
IF(WEEKDAY(H$16,2)=6,
IF($B25="Chan, Man Wai","HD",
IF($B25="Ng Suet Ping, Yoko","HD",
IF($B25="Li Mui Ying","HD1",
IF($B25="Huang Huanrao, Yoyo",IF(MOD(H$13,2)=1,"HD2",IFERROR(IF(SUMPRODUCT(($B$3:$AG$3=H$16)*($B$5:$AG$7=VLOOKUP($B25,'On call stat'!$S$3:$T$10,2,FALSE)))&gt;0,"D","DO"),"DO")),
IF($B25="Lee Ka Po, Kathy",IF(MOD(H$13,2)=0,"HD2",IFERROR(IF(SUMPRODUCT(($B$3:$AG$3=H$16)*($B$5:$AG$7=VLOOKUP($B25,'On call stat'!$S$3:$T$10,2,FALSE)))&gt;0,"D","DO"),"DO")),
IF($B25="Fan Hoi Wan, Ivy",IF(MOD(H$13,2)=0,"D",IFERROR(IF(SUMPRODUCT(($B$3:$AG$3=H$16)*($B$5:$AG$7=VLOOKUP($B25,'On call stat'!$S$3:$T$10,2,FALSE)))&gt;0,"D","DO"),"DO")),
IFERROR(IF(SUMPRODUCT(($B$3:$AG$3=H$16)*($B$5:$AG$7=VLOOKUP($B25,'On call stat'!$S$3:$T$10,2,FALSE)))&gt;0,"D","DO"),"DO"))))))),
IF($B25="Huang Huanrao, Yoyo",IF(MOD(H$13,2)=1,"D1","B6"),
IF($B25="Lee Ka Po, Kathy",IF(MOD(H$13,2)=0,"D1","B6"),
IFERROR(IF(SUMPRODUCT(($B$3:$AG$3=H$16)*($B$5:$AG$7=VLOOKUP($B25,'On call stat'!$S$3:$T$10,2,FALSE)))&gt;0,"E","D"),"D"))))))))</f>
        <v>DO</v>
      </c>
      <c r="I25" s="40" t="str">
        <f>IF(COUNTIF(PH!$A:$A,I$16)&gt;0,"PH",
IF(AND(SUMPRODUCT(($B$9:$AG$10=IFERROR(VLOOKUP($B25,'On call stat'!$S$3:$T$20,2,FALSE),""))*($B$3:$AG$3=I$16))&gt;0,OR(WEEKDAY(I$16,2)=6,),OR($B25="Chan, Man Wai",$B25="Ng Suet Ping, Yoko",$B25="Li Mui Ying",$B25="Lee Ka Po, Kathy",$B25="Huang Huanrao, Yoyo")),"HDAL",
IF(OR(WEEKDAY(I$16,2)=7,AND(WEEKDAY(I$16,2)=6,SUMPRODUCT(($B$9:$AG$10=IFERROR(VLOOKUP($B25,'On call stat'!$S$3:$T$20,2,FALSE),""))*($B$3:$AG$3=I$16))&gt;0)),"DO",
IF(SUMPRODUCT(($B$9:$AG$10=IFERROR(VLOOKUP($B25,'On call stat'!$S$3:$T$20,2,FALSE),""))*($B$3:$AG$3=I$16))&gt;0,"AL",
IF(WEEKDAY(I$16,2)=6,
IF($B25="Chan, Man Wai","HD",
IF($B25="Ng Suet Ping, Yoko","HD",
IF($B25="Li Mui Ying","HD1",
IF($B25="Huang Huanrao, Yoyo",IF(MOD(I$13,2)=1,"HD2",IFERROR(IF(SUMPRODUCT(($B$3:$AG$3=I$16)*($B$5:$AG$7=VLOOKUP($B25,'On call stat'!$S$3:$T$10,2,FALSE)))&gt;0,"D","DO"),"DO")),
IF($B25="Lee Ka Po, Kathy",IF(MOD(I$13,2)=0,"HD2",IFERROR(IF(SUMPRODUCT(($B$3:$AG$3=I$16)*($B$5:$AG$7=VLOOKUP($B25,'On call stat'!$S$3:$T$10,2,FALSE)))&gt;0,"D","DO"),"DO")),
IF($B25="Fan Hoi Wan, Ivy",IF(MOD(I$13,2)=0,"D",IFERROR(IF(SUMPRODUCT(($B$3:$AG$3=I$16)*($B$5:$AG$7=VLOOKUP($B25,'On call stat'!$S$3:$T$10,2,FALSE)))&gt;0,"D","DO"),"DO")),
IFERROR(IF(SUMPRODUCT(($B$3:$AG$3=I$16)*($B$5:$AG$7=VLOOKUP($B25,'On call stat'!$S$3:$T$10,2,FALSE)))&gt;0,"D","DO"),"DO"))))))),
IF($B25="Huang Huanrao, Yoyo",IF(MOD(I$13,2)=1,"D1","B6"),
IF($B25="Lee Ka Po, Kathy",IF(MOD(I$13,2)=0,"D1","B6"),
IFERROR(IF(SUMPRODUCT(($B$3:$AG$3=I$16)*($B$5:$AG$7=VLOOKUP($B25,'On call stat'!$S$3:$T$10,2,FALSE)))&gt;0,"E","D"),"D"))))))))</f>
        <v>E</v>
      </c>
      <c r="J25" s="40" t="str">
        <f>IF(COUNTIF(PH!$A:$A,J$16)&gt;0,"PH",
IF(AND(SUMPRODUCT(($B$9:$AG$10=IFERROR(VLOOKUP($B25,'On call stat'!$S$3:$T$20,2,FALSE),""))*($B$3:$AG$3=J$16))&gt;0,OR(WEEKDAY(J$16,2)=6,),OR($B25="Chan, Man Wai",$B25="Ng Suet Ping, Yoko",$B25="Li Mui Ying",$B25="Lee Ka Po, Kathy",$B25="Huang Huanrao, Yoyo")),"HDAL",
IF(OR(WEEKDAY(J$16,2)=7,AND(WEEKDAY(J$16,2)=6,SUMPRODUCT(($B$9:$AG$10=IFERROR(VLOOKUP($B25,'On call stat'!$S$3:$T$20,2,FALSE),""))*($B$3:$AG$3=J$16))&gt;0)),"DO",
IF(SUMPRODUCT(($B$9:$AG$10=IFERROR(VLOOKUP($B25,'On call stat'!$S$3:$T$20,2,FALSE),""))*($B$3:$AG$3=J$16))&gt;0,"AL",
IF(WEEKDAY(J$16,2)=6,
IF($B25="Chan, Man Wai","HD",
IF($B25="Ng Suet Ping, Yoko","HD",
IF($B25="Li Mui Ying","HD1",
IF($B25="Huang Huanrao, Yoyo",IF(MOD(J$13,2)=1,"HD2",IFERROR(IF(SUMPRODUCT(($B$3:$AG$3=J$16)*($B$5:$AG$7=VLOOKUP($B25,'On call stat'!$S$3:$T$10,2,FALSE)))&gt;0,"D","DO"),"DO")),
IF($B25="Lee Ka Po, Kathy",IF(MOD(J$13,2)=0,"HD2",IFERROR(IF(SUMPRODUCT(($B$3:$AG$3=J$16)*($B$5:$AG$7=VLOOKUP($B25,'On call stat'!$S$3:$T$10,2,FALSE)))&gt;0,"D","DO"),"DO")),
IF($B25="Fan Hoi Wan, Ivy",IF(MOD(J$13,2)=0,"D",IFERROR(IF(SUMPRODUCT(($B$3:$AG$3=J$16)*($B$5:$AG$7=VLOOKUP($B25,'On call stat'!$S$3:$T$10,2,FALSE)))&gt;0,"D","DO"),"DO")),
IFERROR(IF(SUMPRODUCT(($B$3:$AG$3=J$16)*($B$5:$AG$7=VLOOKUP($B25,'On call stat'!$S$3:$T$10,2,FALSE)))&gt;0,"D","DO"),"DO"))))))),
IF($B25="Huang Huanrao, Yoyo",IF(MOD(J$13,2)=1,"D1","B6"),
IF($B25="Lee Ka Po, Kathy",IF(MOD(J$13,2)=0,"D1","B6"),
IFERROR(IF(SUMPRODUCT(($B$3:$AG$3=J$16)*($B$5:$AG$7=VLOOKUP($B25,'On call stat'!$S$3:$T$10,2,FALSE)))&gt;0,"E","D"),"D"))))))))</f>
        <v>E</v>
      </c>
      <c r="K25" s="40" t="str">
        <f>IF(COUNTIF(PH!$A:$A,K$16)&gt;0,"PH",
IF(AND(SUMPRODUCT(($B$9:$AG$10=IFERROR(VLOOKUP($B25,'On call stat'!$S$3:$T$20,2,FALSE),""))*($B$3:$AG$3=K$16))&gt;0,OR(WEEKDAY(K$16,2)=6,),OR($B25="Chan, Man Wai",$B25="Ng Suet Ping, Yoko",$B25="Li Mui Ying",$B25="Lee Ka Po, Kathy",$B25="Huang Huanrao, Yoyo")),"HDAL",
IF(OR(WEEKDAY(K$16,2)=7,AND(WEEKDAY(K$16,2)=6,SUMPRODUCT(($B$9:$AG$10=IFERROR(VLOOKUP($B25,'On call stat'!$S$3:$T$20,2,FALSE),""))*($B$3:$AG$3=K$16))&gt;0)),"DO",
IF(SUMPRODUCT(($B$9:$AG$10=IFERROR(VLOOKUP($B25,'On call stat'!$S$3:$T$20,2,FALSE),""))*($B$3:$AG$3=K$16))&gt;0,"AL",
IF(WEEKDAY(K$16,2)=6,
IF($B25="Chan, Man Wai","HD",
IF($B25="Ng Suet Ping, Yoko","HD",
IF($B25="Li Mui Ying","HD1",
IF($B25="Huang Huanrao, Yoyo",IF(MOD(K$13,2)=1,"HD2",IFERROR(IF(SUMPRODUCT(($B$3:$AG$3=K$16)*($B$5:$AG$7=VLOOKUP($B25,'On call stat'!$S$3:$T$10,2,FALSE)))&gt;0,"D","DO"),"DO")),
IF($B25="Lee Ka Po, Kathy",IF(MOD(K$13,2)=0,"HD2",IFERROR(IF(SUMPRODUCT(($B$3:$AG$3=K$16)*($B$5:$AG$7=VLOOKUP($B25,'On call stat'!$S$3:$T$10,2,FALSE)))&gt;0,"D","DO"),"DO")),
IF($B25="Fan Hoi Wan, Ivy",IF(MOD(K$13,2)=0,"D",IFERROR(IF(SUMPRODUCT(($B$3:$AG$3=K$16)*($B$5:$AG$7=VLOOKUP($B25,'On call stat'!$S$3:$T$10,2,FALSE)))&gt;0,"D","DO"),"DO")),
IFERROR(IF(SUMPRODUCT(($B$3:$AG$3=K$16)*($B$5:$AG$7=VLOOKUP($B25,'On call stat'!$S$3:$T$10,2,FALSE)))&gt;0,"D","DO"),"DO"))))))),
IF($B25="Huang Huanrao, Yoyo",IF(MOD(K$13,2)=1,"D1","B6"),
IF($B25="Lee Ka Po, Kathy",IF(MOD(K$13,2)=0,"D1","B6"),
IFERROR(IF(SUMPRODUCT(($B$3:$AG$3=K$16)*($B$5:$AG$7=VLOOKUP($B25,'On call stat'!$S$3:$T$10,2,FALSE)))&gt;0,"E","D"),"D"))))))))</f>
        <v>E</v>
      </c>
      <c r="L25" s="40" t="str">
        <f>IF(COUNTIF(PH!$A:$A,L$16)&gt;0,"PH",
IF(AND(SUMPRODUCT(($B$9:$AG$10=IFERROR(VLOOKUP($B25,'On call stat'!$S$3:$T$20,2,FALSE),""))*($B$3:$AG$3=L$16))&gt;0,OR(WEEKDAY(L$16,2)=6,),OR($B25="Chan, Man Wai",$B25="Ng Suet Ping, Yoko",$B25="Li Mui Ying",$B25="Lee Ka Po, Kathy",$B25="Huang Huanrao, Yoyo")),"HDAL",
IF(OR(WEEKDAY(L$16,2)=7,AND(WEEKDAY(L$16,2)=6,SUMPRODUCT(($B$9:$AG$10=IFERROR(VLOOKUP($B25,'On call stat'!$S$3:$T$20,2,FALSE),""))*($B$3:$AG$3=L$16))&gt;0)),"DO",
IF(SUMPRODUCT(($B$9:$AG$10=IFERROR(VLOOKUP($B25,'On call stat'!$S$3:$T$20,2,FALSE),""))*($B$3:$AG$3=L$16))&gt;0,"AL",
IF(WEEKDAY(L$16,2)=6,
IF($B25="Chan, Man Wai","HD",
IF($B25="Ng Suet Ping, Yoko","HD",
IF($B25="Li Mui Ying","HD1",
IF($B25="Huang Huanrao, Yoyo",IF(MOD(L$13,2)=1,"HD2",IFERROR(IF(SUMPRODUCT(($B$3:$AG$3=L$16)*($B$5:$AG$7=VLOOKUP($B25,'On call stat'!$S$3:$T$10,2,FALSE)))&gt;0,"D","DO"),"DO")),
IF($B25="Lee Ka Po, Kathy",IF(MOD(L$13,2)=0,"HD2",IFERROR(IF(SUMPRODUCT(($B$3:$AG$3=L$16)*($B$5:$AG$7=VLOOKUP($B25,'On call stat'!$S$3:$T$10,2,FALSE)))&gt;0,"D","DO"),"DO")),
IF($B25="Fan Hoi Wan, Ivy",IF(MOD(L$13,2)=0,"D",IFERROR(IF(SUMPRODUCT(($B$3:$AG$3=L$16)*($B$5:$AG$7=VLOOKUP($B25,'On call stat'!$S$3:$T$10,2,FALSE)))&gt;0,"D","DO"),"DO")),
IFERROR(IF(SUMPRODUCT(($B$3:$AG$3=L$16)*($B$5:$AG$7=VLOOKUP($B25,'On call stat'!$S$3:$T$10,2,FALSE)))&gt;0,"D","DO"),"DO"))))))),
IF($B25="Huang Huanrao, Yoyo",IF(MOD(L$13,2)=1,"D1","B6"),
IF($B25="Lee Ka Po, Kathy",IF(MOD(L$13,2)=0,"D1","B6"),
IFERROR(IF(SUMPRODUCT(($B$3:$AG$3=L$16)*($B$5:$AG$7=VLOOKUP($B25,'On call stat'!$S$3:$T$10,2,FALSE)))&gt;0,"E","D"),"D"))))))))</f>
        <v>E</v>
      </c>
      <c r="M25" s="40" t="str">
        <f>IF(COUNTIF(PH!$A:$A,M$16)&gt;0,"PH",
IF(AND(SUMPRODUCT(($B$9:$AG$10=IFERROR(VLOOKUP($B25,'On call stat'!$S$3:$T$20,2,FALSE),""))*($B$3:$AG$3=M$16))&gt;0,OR(WEEKDAY(M$16,2)=6,),OR($B25="Chan, Man Wai",$B25="Ng Suet Ping, Yoko",$B25="Li Mui Ying",$B25="Lee Ka Po, Kathy",$B25="Huang Huanrao, Yoyo")),"HDAL",
IF(OR(WEEKDAY(M$16,2)=7,AND(WEEKDAY(M$16,2)=6,SUMPRODUCT(($B$9:$AG$10=IFERROR(VLOOKUP($B25,'On call stat'!$S$3:$T$20,2,FALSE),""))*($B$3:$AG$3=M$16))&gt;0)),"DO",
IF(SUMPRODUCT(($B$9:$AG$10=IFERROR(VLOOKUP($B25,'On call stat'!$S$3:$T$20,2,FALSE),""))*($B$3:$AG$3=M$16))&gt;0,"AL",
IF(WEEKDAY(M$16,2)=6,
IF($B25="Chan, Man Wai","HD",
IF($B25="Ng Suet Ping, Yoko","HD",
IF($B25="Li Mui Ying","HD1",
IF($B25="Huang Huanrao, Yoyo",IF(MOD(M$13,2)=1,"HD2",IFERROR(IF(SUMPRODUCT(($B$3:$AG$3=M$16)*($B$5:$AG$7=VLOOKUP($B25,'On call stat'!$S$3:$T$10,2,FALSE)))&gt;0,"D","DO"),"DO")),
IF($B25="Lee Ka Po, Kathy",IF(MOD(M$13,2)=0,"HD2",IFERROR(IF(SUMPRODUCT(($B$3:$AG$3=M$16)*($B$5:$AG$7=VLOOKUP($B25,'On call stat'!$S$3:$T$10,2,FALSE)))&gt;0,"D","DO"),"DO")),
IF($B25="Fan Hoi Wan, Ivy",IF(MOD(M$13,2)=0,"D",IFERROR(IF(SUMPRODUCT(($B$3:$AG$3=M$16)*($B$5:$AG$7=VLOOKUP($B25,'On call stat'!$S$3:$T$10,2,FALSE)))&gt;0,"D","DO"),"DO")),
IFERROR(IF(SUMPRODUCT(($B$3:$AG$3=M$16)*($B$5:$AG$7=VLOOKUP($B25,'On call stat'!$S$3:$T$10,2,FALSE)))&gt;0,"D","DO"),"DO"))))))),
IF($B25="Huang Huanrao, Yoyo",IF(MOD(M$13,2)=1,"D1","B6"),
IF($B25="Lee Ka Po, Kathy",IF(MOD(M$13,2)=0,"D1","B6"),
IFERROR(IF(SUMPRODUCT(($B$3:$AG$3=M$16)*($B$5:$AG$7=VLOOKUP($B25,'On call stat'!$S$3:$T$10,2,FALSE)))&gt;0,"E","D"),"D"))))))))</f>
        <v>E</v>
      </c>
      <c r="N25" s="40" t="str">
        <f>IF(COUNTIF(PH!$A:$A,N$16)&gt;0,"PH",
IF(AND(SUMPRODUCT(($B$9:$AG$10=IFERROR(VLOOKUP($B25,'On call stat'!$S$3:$T$20,2,FALSE),""))*($B$3:$AG$3=N$16))&gt;0,OR(WEEKDAY(N$16,2)=6,),OR($B25="Chan, Man Wai",$B25="Ng Suet Ping, Yoko",$B25="Li Mui Ying",$B25="Lee Ka Po, Kathy",$B25="Huang Huanrao, Yoyo")),"HDAL",
IF(OR(WEEKDAY(N$16,2)=7,AND(WEEKDAY(N$16,2)=6,SUMPRODUCT(($B$9:$AG$10=IFERROR(VLOOKUP($B25,'On call stat'!$S$3:$T$20,2,FALSE),""))*($B$3:$AG$3=N$16))&gt;0)),"DO",
IF(SUMPRODUCT(($B$9:$AG$10=IFERROR(VLOOKUP($B25,'On call stat'!$S$3:$T$20,2,FALSE),""))*($B$3:$AG$3=N$16))&gt;0,"AL",
IF(WEEKDAY(N$16,2)=6,
IF($B25="Chan, Man Wai","HD",
IF($B25="Ng Suet Ping, Yoko","HD",
IF($B25="Li Mui Ying","HD1",
IF($B25="Huang Huanrao, Yoyo",IF(MOD(N$13,2)=1,"HD2",IFERROR(IF(SUMPRODUCT(($B$3:$AG$3=N$16)*($B$5:$AG$7=VLOOKUP($B25,'On call stat'!$S$3:$T$10,2,FALSE)))&gt;0,"D","DO"),"DO")),
IF($B25="Lee Ka Po, Kathy",IF(MOD(N$13,2)=0,"HD2",IFERROR(IF(SUMPRODUCT(($B$3:$AG$3=N$16)*($B$5:$AG$7=VLOOKUP($B25,'On call stat'!$S$3:$T$10,2,FALSE)))&gt;0,"D","DO"),"DO")),
IF($B25="Fan Hoi Wan, Ivy",IF(MOD(N$13,2)=0,"D",IFERROR(IF(SUMPRODUCT(($B$3:$AG$3=N$16)*($B$5:$AG$7=VLOOKUP($B25,'On call stat'!$S$3:$T$10,2,FALSE)))&gt;0,"D","DO"),"DO")),
IFERROR(IF(SUMPRODUCT(($B$3:$AG$3=N$16)*($B$5:$AG$7=VLOOKUP($B25,'On call stat'!$S$3:$T$10,2,FALSE)))&gt;0,"D","DO"),"DO"))))))),
IF($B25="Huang Huanrao, Yoyo",IF(MOD(N$13,2)=1,"D1","B6"),
IF($B25="Lee Ka Po, Kathy",IF(MOD(N$13,2)=0,"D1","B6"),
IFERROR(IF(SUMPRODUCT(($B$3:$AG$3=N$16)*($B$5:$AG$7=VLOOKUP($B25,'On call stat'!$S$3:$T$10,2,FALSE)))&gt;0,"E","D"),"D"))))))))</f>
        <v>D</v>
      </c>
      <c r="O25" s="40" t="str">
        <f>IF(COUNTIF(PH!$A:$A,O$16)&gt;0,"PH",
IF(AND(SUMPRODUCT(($B$9:$AG$10=IFERROR(VLOOKUP($B25,'On call stat'!$S$3:$T$20,2,FALSE),""))*($B$3:$AG$3=O$16))&gt;0,OR(WEEKDAY(O$16,2)=6,),OR($B25="Chan, Man Wai",$B25="Ng Suet Ping, Yoko",$B25="Li Mui Ying",$B25="Lee Ka Po, Kathy",$B25="Huang Huanrao, Yoyo")),"HDAL",
IF(OR(WEEKDAY(O$16,2)=7,AND(WEEKDAY(O$16,2)=6,SUMPRODUCT(($B$9:$AG$10=IFERROR(VLOOKUP($B25,'On call stat'!$S$3:$T$20,2,FALSE),""))*($B$3:$AG$3=O$16))&gt;0)),"DO",
IF(SUMPRODUCT(($B$9:$AG$10=IFERROR(VLOOKUP($B25,'On call stat'!$S$3:$T$20,2,FALSE),""))*($B$3:$AG$3=O$16))&gt;0,"AL",
IF(WEEKDAY(O$16,2)=6,
IF($B25="Chan, Man Wai","HD",
IF($B25="Ng Suet Ping, Yoko","HD",
IF($B25="Li Mui Ying","HD1",
IF($B25="Huang Huanrao, Yoyo",IF(MOD(O$13,2)=1,"HD2",IFERROR(IF(SUMPRODUCT(($B$3:$AG$3=O$16)*($B$5:$AG$7=VLOOKUP($B25,'On call stat'!$S$3:$T$10,2,FALSE)))&gt;0,"D","DO"),"DO")),
IF($B25="Lee Ka Po, Kathy",IF(MOD(O$13,2)=0,"HD2",IFERROR(IF(SUMPRODUCT(($B$3:$AG$3=O$16)*($B$5:$AG$7=VLOOKUP($B25,'On call stat'!$S$3:$T$10,2,FALSE)))&gt;0,"D","DO"),"DO")),
IF($B25="Fan Hoi Wan, Ivy",IF(MOD(O$13,2)=0,"D",IFERROR(IF(SUMPRODUCT(($B$3:$AG$3=O$16)*($B$5:$AG$7=VLOOKUP($B25,'On call stat'!$S$3:$T$10,2,FALSE)))&gt;0,"D","DO"),"DO")),
IFERROR(IF(SUMPRODUCT(($B$3:$AG$3=O$16)*($B$5:$AG$7=VLOOKUP($B25,'On call stat'!$S$3:$T$10,2,FALSE)))&gt;0,"D","DO"),"DO"))))))),
IF($B25="Huang Huanrao, Yoyo",IF(MOD(O$13,2)=1,"D1","B6"),
IF($B25="Lee Ka Po, Kathy",IF(MOD(O$13,2)=0,"D1","B6"),
IFERROR(IF(SUMPRODUCT(($B$3:$AG$3=O$16)*($B$5:$AG$7=VLOOKUP($B25,'On call stat'!$S$3:$T$10,2,FALSE)))&gt;0,"E","D"),"D"))))))))</f>
        <v>DO</v>
      </c>
      <c r="P25" s="40" t="str">
        <f>IF(COUNTIF(PH!$A:$A,P$16)&gt;0,"PH",
IF(AND(SUMPRODUCT(($B$9:$AG$10=IFERROR(VLOOKUP($B25,'On call stat'!$S$3:$T$20,2,FALSE),""))*($B$3:$AG$3=P$16))&gt;0,OR(WEEKDAY(P$16,2)=6,),OR($B25="Chan, Man Wai",$B25="Ng Suet Ping, Yoko",$B25="Li Mui Ying",$B25="Lee Ka Po, Kathy",$B25="Huang Huanrao, Yoyo")),"HDAL",
IF(OR(WEEKDAY(P$16,2)=7,AND(WEEKDAY(P$16,2)=6,SUMPRODUCT(($B$9:$AG$10=IFERROR(VLOOKUP($B25,'On call stat'!$S$3:$T$20,2,FALSE),""))*($B$3:$AG$3=P$16))&gt;0)),"DO",
IF(SUMPRODUCT(($B$9:$AG$10=IFERROR(VLOOKUP($B25,'On call stat'!$S$3:$T$20,2,FALSE),""))*($B$3:$AG$3=P$16))&gt;0,"AL",
IF(WEEKDAY(P$16,2)=6,
IF($B25="Chan, Man Wai","HD",
IF($B25="Ng Suet Ping, Yoko","HD",
IF($B25="Li Mui Ying","HD1",
IF($B25="Huang Huanrao, Yoyo",IF(MOD(P$13,2)=1,"HD2",IFERROR(IF(SUMPRODUCT(($B$3:$AG$3=P$16)*($B$5:$AG$7=VLOOKUP($B25,'On call stat'!$S$3:$T$10,2,FALSE)))&gt;0,"D","DO"),"DO")),
IF($B25="Lee Ka Po, Kathy",IF(MOD(P$13,2)=0,"HD2",IFERROR(IF(SUMPRODUCT(($B$3:$AG$3=P$16)*($B$5:$AG$7=VLOOKUP($B25,'On call stat'!$S$3:$T$10,2,FALSE)))&gt;0,"D","DO"),"DO")),
IF($B25="Fan Hoi Wan, Ivy",IF(MOD(P$13,2)=0,"D",IFERROR(IF(SUMPRODUCT(($B$3:$AG$3=P$16)*($B$5:$AG$7=VLOOKUP($B25,'On call stat'!$S$3:$T$10,2,FALSE)))&gt;0,"D","DO"),"DO")),
IFERROR(IF(SUMPRODUCT(($B$3:$AG$3=P$16)*($B$5:$AG$7=VLOOKUP($B25,'On call stat'!$S$3:$T$10,2,FALSE)))&gt;0,"D","DO"),"DO"))))))),
IF($B25="Huang Huanrao, Yoyo",IF(MOD(P$13,2)=1,"D1","B6"),
IF($B25="Lee Ka Po, Kathy",IF(MOD(P$13,2)=0,"D1","B6"),
IFERROR(IF(SUMPRODUCT(($B$3:$AG$3=P$16)*($B$5:$AG$7=VLOOKUP($B25,'On call stat'!$S$3:$T$10,2,FALSE)))&gt;0,"E","D"),"D"))))))))</f>
        <v>E</v>
      </c>
      <c r="Q25" s="40" t="str">
        <f>IF(COUNTIF(PH!$A:$A,Q$16)&gt;0,"PH",
IF(AND(SUMPRODUCT(($B$9:$AG$10=IFERROR(VLOOKUP($B25,'On call stat'!$S$3:$T$20,2,FALSE),""))*($B$3:$AG$3=Q$16))&gt;0,OR(WEEKDAY(Q$16,2)=6,),OR($B25="Chan, Man Wai",$B25="Ng Suet Ping, Yoko",$B25="Li Mui Ying",$B25="Lee Ka Po, Kathy",$B25="Huang Huanrao, Yoyo")),"HDAL",
IF(OR(WEEKDAY(Q$16,2)=7,AND(WEEKDAY(Q$16,2)=6,SUMPRODUCT(($B$9:$AG$10=IFERROR(VLOOKUP($B25,'On call stat'!$S$3:$T$20,2,FALSE),""))*($B$3:$AG$3=Q$16))&gt;0)),"DO",
IF(SUMPRODUCT(($B$9:$AG$10=IFERROR(VLOOKUP($B25,'On call stat'!$S$3:$T$20,2,FALSE),""))*($B$3:$AG$3=Q$16))&gt;0,"AL",
IF(WEEKDAY(Q$16,2)=6,
IF($B25="Chan, Man Wai","HD",
IF($B25="Ng Suet Ping, Yoko","HD",
IF($B25="Li Mui Ying","HD1",
IF($B25="Huang Huanrao, Yoyo",IF(MOD(Q$13,2)=1,"HD2",IFERROR(IF(SUMPRODUCT(($B$3:$AG$3=Q$16)*($B$5:$AG$7=VLOOKUP($B25,'On call stat'!$S$3:$T$10,2,FALSE)))&gt;0,"D","DO"),"DO")),
IF($B25="Lee Ka Po, Kathy",IF(MOD(Q$13,2)=0,"HD2",IFERROR(IF(SUMPRODUCT(($B$3:$AG$3=Q$16)*($B$5:$AG$7=VLOOKUP($B25,'On call stat'!$S$3:$T$10,2,FALSE)))&gt;0,"D","DO"),"DO")),
IF($B25="Fan Hoi Wan, Ivy",IF(MOD(Q$13,2)=0,"D",IFERROR(IF(SUMPRODUCT(($B$3:$AG$3=Q$16)*($B$5:$AG$7=VLOOKUP($B25,'On call stat'!$S$3:$T$10,2,FALSE)))&gt;0,"D","DO"),"DO")),
IFERROR(IF(SUMPRODUCT(($B$3:$AG$3=Q$16)*($B$5:$AG$7=VLOOKUP($B25,'On call stat'!$S$3:$T$10,2,FALSE)))&gt;0,"D","DO"),"DO"))))))),
IF($B25="Huang Huanrao, Yoyo",IF(MOD(Q$13,2)=1,"D1","B6"),
IF($B25="Lee Ka Po, Kathy",IF(MOD(Q$13,2)=0,"D1","B6"),
IFERROR(IF(SUMPRODUCT(($B$3:$AG$3=Q$16)*($B$5:$AG$7=VLOOKUP($B25,'On call stat'!$S$3:$T$10,2,FALSE)))&gt;0,"E","D"),"D"))))))))</f>
        <v>E</v>
      </c>
      <c r="R25" s="40" t="str">
        <f>IF(COUNTIF(PH!$A:$A,R$16)&gt;0,"PH",
IF(AND(SUMPRODUCT(($B$9:$AG$10=IFERROR(VLOOKUP($B25,'On call stat'!$S$3:$T$20,2,FALSE),""))*($B$3:$AG$3=R$16))&gt;0,OR(WEEKDAY(R$16,2)=6,),OR($B25="Chan, Man Wai",$B25="Ng Suet Ping, Yoko",$B25="Li Mui Ying",$B25="Lee Ka Po, Kathy",$B25="Huang Huanrao, Yoyo")),"HDAL",
IF(OR(WEEKDAY(R$16,2)=7,AND(WEEKDAY(R$16,2)=6,SUMPRODUCT(($B$9:$AG$10=IFERROR(VLOOKUP($B25,'On call stat'!$S$3:$T$20,2,FALSE),""))*($B$3:$AG$3=R$16))&gt;0)),"DO",
IF(SUMPRODUCT(($B$9:$AG$10=IFERROR(VLOOKUP($B25,'On call stat'!$S$3:$T$20,2,FALSE),""))*($B$3:$AG$3=R$16))&gt;0,"AL",
IF(WEEKDAY(R$16,2)=6,
IF($B25="Chan, Man Wai","HD",
IF($B25="Ng Suet Ping, Yoko","HD",
IF($B25="Li Mui Ying","HD1",
IF($B25="Huang Huanrao, Yoyo",IF(MOD(R$13,2)=1,"HD2",IFERROR(IF(SUMPRODUCT(($B$3:$AG$3=R$16)*($B$5:$AG$7=VLOOKUP($B25,'On call stat'!$S$3:$T$10,2,FALSE)))&gt;0,"D","DO"),"DO")),
IF($B25="Lee Ka Po, Kathy",IF(MOD(R$13,2)=0,"HD2",IFERROR(IF(SUMPRODUCT(($B$3:$AG$3=R$16)*($B$5:$AG$7=VLOOKUP($B25,'On call stat'!$S$3:$T$10,2,FALSE)))&gt;0,"D","DO"),"DO")),
IF($B25="Fan Hoi Wan, Ivy",IF(MOD(R$13,2)=0,"D",IFERROR(IF(SUMPRODUCT(($B$3:$AG$3=R$16)*($B$5:$AG$7=VLOOKUP($B25,'On call stat'!$S$3:$T$10,2,FALSE)))&gt;0,"D","DO"),"DO")),
IFERROR(IF(SUMPRODUCT(($B$3:$AG$3=R$16)*($B$5:$AG$7=VLOOKUP($B25,'On call stat'!$S$3:$T$10,2,FALSE)))&gt;0,"D","DO"),"DO"))))))),
IF($B25="Huang Huanrao, Yoyo",IF(MOD(R$13,2)=1,"D1","B6"),
IF($B25="Lee Ka Po, Kathy",IF(MOD(R$13,2)=0,"D1","B6"),
IFERROR(IF(SUMPRODUCT(($B$3:$AG$3=R$16)*($B$5:$AG$7=VLOOKUP($B25,'On call stat'!$S$3:$T$10,2,FALSE)))&gt;0,"E","D"),"D"))))))))</f>
        <v>E</v>
      </c>
      <c r="S25" s="40" t="str">
        <f>IF(COUNTIF(PH!$A:$A,S$16)&gt;0,"PH",
IF(AND(SUMPRODUCT(($B$9:$AG$10=IFERROR(VLOOKUP($B25,'On call stat'!$S$3:$T$20,2,FALSE),""))*($B$3:$AG$3=S$16))&gt;0,OR(WEEKDAY(S$16,2)=6,),OR($B25="Chan, Man Wai",$B25="Ng Suet Ping, Yoko",$B25="Li Mui Ying",$B25="Lee Ka Po, Kathy",$B25="Huang Huanrao, Yoyo")),"HDAL",
IF(OR(WEEKDAY(S$16,2)=7,AND(WEEKDAY(S$16,2)=6,SUMPRODUCT(($B$9:$AG$10=IFERROR(VLOOKUP($B25,'On call stat'!$S$3:$T$20,2,FALSE),""))*($B$3:$AG$3=S$16))&gt;0)),"DO",
IF(SUMPRODUCT(($B$9:$AG$10=IFERROR(VLOOKUP($B25,'On call stat'!$S$3:$T$20,2,FALSE),""))*($B$3:$AG$3=S$16))&gt;0,"AL",
IF(WEEKDAY(S$16,2)=6,
IF($B25="Chan, Man Wai","HD",
IF($B25="Ng Suet Ping, Yoko","HD",
IF($B25="Li Mui Ying","HD1",
IF($B25="Huang Huanrao, Yoyo",IF(MOD(S$13,2)=1,"HD2",IFERROR(IF(SUMPRODUCT(($B$3:$AG$3=S$16)*($B$5:$AG$7=VLOOKUP($B25,'On call stat'!$S$3:$T$10,2,FALSE)))&gt;0,"D","DO"),"DO")),
IF($B25="Lee Ka Po, Kathy",IF(MOD(S$13,2)=0,"HD2",IFERROR(IF(SUMPRODUCT(($B$3:$AG$3=S$16)*($B$5:$AG$7=VLOOKUP($B25,'On call stat'!$S$3:$T$10,2,FALSE)))&gt;0,"D","DO"),"DO")),
IF($B25="Fan Hoi Wan, Ivy",IF(MOD(S$13,2)=0,"D",IFERROR(IF(SUMPRODUCT(($B$3:$AG$3=S$16)*($B$5:$AG$7=VLOOKUP($B25,'On call stat'!$S$3:$T$10,2,FALSE)))&gt;0,"D","DO"),"DO")),
IFERROR(IF(SUMPRODUCT(($B$3:$AG$3=S$16)*($B$5:$AG$7=VLOOKUP($B25,'On call stat'!$S$3:$T$10,2,FALSE)))&gt;0,"D","DO"),"DO"))))))),
IF($B25="Huang Huanrao, Yoyo",IF(MOD(S$13,2)=1,"D1","B6"),
IF($B25="Lee Ka Po, Kathy",IF(MOD(S$13,2)=0,"D1","B6"),
IFERROR(IF(SUMPRODUCT(($B$3:$AG$3=S$16)*($B$5:$AG$7=VLOOKUP($B25,'On call stat'!$S$3:$T$10,2,FALSE)))&gt;0,"E","D"),"D"))))))))</f>
        <v>E</v>
      </c>
      <c r="T25" s="40" t="str">
        <f>IF(COUNTIF(PH!$A:$A,T$16)&gt;0,"PH",
IF(AND(SUMPRODUCT(($B$9:$AG$10=IFERROR(VLOOKUP($B25,'On call stat'!$S$3:$T$20,2,FALSE),""))*($B$3:$AG$3=T$16))&gt;0,OR(WEEKDAY(T$16,2)=6,),OR($B25="Chan, Man Wai",$B25="Ng Suet Ping, Yoko",$B25="Li Mui Ying",$B25="Lee Ka Po, Kathy",$B25="Huang Huanrao, Yoyo")),"HDAL",
IF(OR(WEEKDAY(T$16,2)=7,AND(WEEKDAY(T$16,2)=6,SUMPRODUCT(($B$9:$AG$10=IFERROR(VLOOKUP($B25,'On call stat'!$S$3:$T$20,2,FALSE),""))*($B$3:$AG$3=T$16))&gt;0)),"DO",
IF(SUMPRODUCT(($B$9:$AG$10=IFERROR(VLOOKUP($B25,'On call stat'!$S$3:$T$20,2,FALSE),""))*($B$3:$AG$3=T$16))&gt;0,"AL",
IF(WEEKDAY(T$16,2)=6,
IF($B25="Chan, Man Wai","HD",
IF($B25="Ng Suet Ping, Yoko","HD",
IF($B25="Li Mui Ying","HD1",
IF($B25="Huang Huanrao, Yoyo",IF(MOD(T$13,2)=1,"HD2",IFERROR(IF(SUMPRODUCT(($B$3:$AG$3=T$16)*($B$5:$AG$7=VLOOKUP($B25,'On call stat'!$S$3:$T$10,2,FALSE)))&gt;0,"D","DO"),"DO")),
IF($B25="Lee Ka Po, Kathy",IF(MOD(T$13,2)=0,"HD2",IFERROR(IF(SUMPRODUCT(($B$3:$AG$3=T$16)*($B$5:$AG$7=VLOOKUP($B25,'On call stat'!$S$3:$T$10,2,FALSE)))&gt;0,"D","DO"),"DO")),
IF($B25="Fan Hoi Wan, Ivy",IF(MOD(T$13,2)=0,"D",IFERROR(IF(SUMPRODUCT(($B$3:$AG$3=T$16)*($B$5:$AG$7=VLOOKUP($B25,'On call stat'!$S$3:$T$10,2,FALSE)))&gt;0,"D","DO"),"DO")),
IFERROR(IF(SUMPRODUCT(($B$3:$AG$3=T$16)*($B$5:$AG$7=VLOOKUP($B25,'On call stat'!$S$3:$T$10,2,FALSE)))&gt;0,"D","DO"),"DO"))))))),
IF($B25="Huang Huanrao, Yoyo",IF(MOD(T$13,2)=1,"D1","B6"),
IF($B25="Lee Ka Po, Kathy",IF(MOD(T$13,2)=0,"D1","B6"),
IFERROR(IF(SUMPRODUCT(($B$3:$AG$3=T$16)*($B$5:$AG$7=VLOOKUP($B25,'On call stat'!$S$3:$T$10,2,FALSE)))&gt;0,"E","D"),"D"))))))))</f>
        <v>E</v>
      </c>
      <c r="U25" s="40" t="str">
        <f>IF(COUNTIF(PH!$A:$A,U$16)&gt;0,"PH",
IF(AND(SUMPRODUCT(($B$9:$AG$10=IFERROR(VLOOKUP($B25,'On call stat'!$S$3:$T$20,2,FALSE),""))*($B$3:$AG$3=U$16))&gt;0,OR(WEEKDAY(U$16,2)=6,),OR($B25="Chan, Man Wai",$B25="Ng Suet Ping, Yoko",$B25="Li Mui Ying",$B25="Lee Ka Po, Kathy",$B25="Huang Huanrao, Yoyo")),"HDAL",
IF(OR(WEEKDAY(U$16,2)=7,AND(WEEKDAY(U$16,2)=6,SUMPRODUCT(($B$9:$AG$10=IFERROR(VLOOKUP($B25,'On call stat'!$S$3:$T$20,2,FALSE),""))*($B$3:$AG$3=U$16))&gt;0)),"DO",
IF(SUMPRODUCT(($B$9:$AG$10=IFERROR(VLOOKUP($B25,'On call stat'!$S$3:$T$20,2,FALSE),""))*($B$3:$AG$3=U$16))&gt;0,"AL",
IF(WEEKDAY(U$16,2)=6,
IF($B25="Chan, Man Wai","HD",
IF($B25="Ng Suet Ping, Yoko","HD",
IF($B25="Li Mui Ying","HD1",
IF($B25="Huang Huanrao, Yoyo",IF(MOD(U$13,2)=1,"HD2",IFERROR(IF(SUMPRODUCT(($B$3:$AG$3=U$16)*($B$5:$AG$7=VLOOKUP($B25,'On call stat'!$S$3:$T$10,2,FALSE)))&gt;0,"D","DO"),"DO")),
IF($B25="Lee Ka Po, Kathy",IF(MOD(U$13,2)=0,"HD2",IFERROR(IF(SUMPRODUCT(($B$3:$AG$3=U$16)*($B$5:$AG$7=VLOOKUP($B25,'On call stat'!$S$3:$T$10,2,FALSE)))&gt;0,"D","DO"),"DO")),
IF($B25="Fan Hoi Wan, Ivy",IF(MOD(U$13,2)=0,"D",IFERROR(IF(SUMPRODUCT(($B$3:$AG$3=U$16)*($B$5:$AG$7=VLOOKUP($B25,'On call stat'!$S$3:$T$10,2,FALSE)))&gt;0,"D","DO"),"DO")),
IFERROR(IF(SUMPRODUCT(($B$3:$AG$3=U$16)*($B$5:$AG$7=VLOOKUP($B25,'On call stat'!$S$3:$T$10,2,FALSE)))&gt;0,"D","DO"),"DO"))))))),
IF($B25="Huang Huanrao, Yoyo",IF(MOD(U$13,2)=1,"D1","B6"),
IF($B25="Lee Ka Po, Kathy",IF(MOD(U$13,2)=0,"D1","B6"),
IFERROR(IF(SUMPRODUCT(($B$3:$AG$3=U$16)*($B$5:$AG$7=VLOOKUP($B25,'On call stat'!$S$3:$T$10,2,FALSE)))&gt;0,"E","D"),"D"))))))))</f>
        <v>D</v>
      </c>
      <c r="V25" s="40" t="str">
        <f>IF(COUNTIF(PH!$A:$A,V$16)&gt;0,"PH",
IF(AND(SUMPRODUCT(($B$9:$AG$10=IFERROR(VLOOKUP($B25,'On call stat'!$S$3:$T$20,2,FALSE),""))*($B$3:$AG$3=V$16))&gt;0,OR(WEEKDAY(V$16,2)=6,),OR($B25="Chan, Man Wai",$B25="Ng Suet Ping, Yoko",$B25="Li Mui Ying",$B25="Lee Ka Po, Kathy",$B25="Huang Huanrao, Yoyo")),"HDAL",
IF(OR(WEEKDAY(V$16,2)=7,AND(WEEKDAY(V$16,2)=6,SUMPRODUCT(($B$9:$AG$10=IFERROR(VLOOKUP($B25,'On call stat'!$S$3:$T$20,2,FALSE),""))*($B$3:$AG$3=V$16))&gt;0)),"DO",
IF(SUMPRODUCT(($B$9:$AG$10=IFERROR(VLOOKUP($B25,'On call stat'!$S$3:$T$20,2,FALSE),""))*($B$3:$AG$3=V$16))&gt;0,"AL",
IF(WEEKDAY(V$16,2)=6,
IF($B25="Chan, Man Wai","HD",
IF($B25="Ng Suet Ping, Yoko","HD",
IF($B25="Li Mui Ying","HD1",
IF($B25="Huang Huanrao, Yoyo",IF(MOD(V$13,2)=1,"HD2",IFERROR(IF(SUMPRODUCT(($B$3:$AG$3=V$16)*($B$5:$AG$7=VLOOKUP($B25,'On call stat'!$S$3:$T$10,2,FALSE)))&gt;0,"D","DO"),"DO")),
IF($B25="Lee Ka Po, Kathy",IF(MOD(V$13,2)=0,"HD2",IFERROR(IF(SUMPRODUCT(($B$3:$AG$3=V$16)*($B$5:$AG$7=VLOOKUP($B25,'On call stat'!$S$3:$T$10,2,FALSE)))&gt;0,"D","DO"),"DO")),
IF($B25="Fan Hoi Wan, Ivy",IF(MOD(V$13,2)=0,"D",IFERROR(IF(SUMPRODUCT(($B$3:$AG$3=V$16)*($B$5:$AG$7=VLOOKUP($B25,'On call stat'!$S$3:$T$10,2,FALSE)))&gt;0,"D","DO"),"DO")),
IFERROR(IF(SUMPRODUCT(($B$3:$AG$3=V$16)*($B$5:$AG$7=VLOOKUP($B25,'On call stat'!$S$3:$T$10,2,FALSE)))&gt;0,"D","DO"),"DO"))))))),
IF($B25="Huang Huanrao, Yoyo",IF(MOD(V$13,2)=1,"D1","B6"),
IF($B25="Lee Ka Po, Kathy",IF(MOD(V$13,2)=0,"D1","B6"),
IFERROR(IF(SUMPRODUCT(($B$3:$AG$3=V$16)*($B$5:$AG$7=VLOOKUP($B25,'On call stat'!$S$3:$T$10,2,FALSE)))&gt;0,"E","D"),"D"))))))))</f>
        <v>DO</v>
      </c>
      <c r="W25" s="40" t="str">
        <f>IF(COUNTIF(PH!$A:$A,W$16)&gt;0,"PH",
IF(AND(SUMPRODUCT(($B$9:$AG$10=IFERROR(VLOOKUP($B25,'On call stat'!$S$3:$T$20,2,FALSE),""))*($B$3:$AG$3=W$16))&gt;0,OR(WEEKDAY(W$16,2)=6,),OR($B25="Chan, Man Wai",$B25="Ng Suet Ping, Yoko",$B25="Li Mui Ying",$B25="Lee Ka Po, Kathy",$B25="Huang Huanrao, Yoyo")),"HDAL",
IF(OR(WEEKDAY(W$16,2)=7,AND(WEEKDAY(W$16,2)=6,SUMPRODUCT(($B$9:$AG$10=IFERROR(VLOOKUP($B25,'On call stat'!$S$3:$T$20,2,FALSE),""))*($B$3:$AG$3=W$16))&gt;0)),"DO",
IF(SUMPRODUCT(($B$9:$AG$10=IFERROR(VLOOKUP($B25,'On call stat'!$S$3:$T$20,2,FALSE),""))*($B$3:$AG$3=W$16))&gt;0,"AL",
IF(WEEKDAY(W$16,2)=6,
IF($B25="Chan, Man Wai","HD",
IF($B25="Ng Suet Ping, Yoko","HD",
IF($B25="Li Mui Ying","HD1",
IF($B25="Huang Huanrao, Yoyo",IF(MOD(W$13,2)=1,"HD2",IFERROR(IF(SUMPRODUCT(($B$3:$AG$3=W$16)*($B$5:$AG$7=VLOOKUP($B25,'On call stat'!$S$3:$T$10,2,FALSE)))&gt;0,"D","DO"),"DO")),
IF($B25="Lee Ka Po, Kathy",IF(MOD(W$13,2)=0,"HD2",IFERROR(IF(SUMPRODUCT(($B$3:$AG$3=W$16)*($B$5:$AG$7=VLOOKUP($B25,'On call stat'!$S$3:$T$10,2,FALSE)))&gt;0,"D","DO"),"DO")),
IF($B25="Fan Hoi Wan, Ivy",IF(MOD(W$13,2)=0,"D",IFERROR(IF(SUMPRODUCT(($B$3:$AG$3=W$16)*($B$5:$AG$7=VLOOKUP($B25,'On call stat'!$S$3:$T$10,2,FALSE)))&gt;0,"D","DO"),"DO")),
IFERROR(IF(SUMPRODUCT(($B$3:$AG$3=W$16)*($B$5:$AG$7=VLOOKUP($B25,'On call stat'!$S$3:$T$10,2,FALSE)))&gt;0,"D","DO"),"DO"))))))),
IF($B25="Huang Huanrao, Yoyo",IF(MOD(W$13,2)=1,"D1","B6"),
IF($B25="Lee Ka Po, Kathy",IF(MOD(W$13,2)=0,"D1","B6"),
IFERROR(IF(SUMPRODUCT(($B$3:$AG$3=W$16)*($B$5:$AG$7=VLOOKUP($B25,'On call stat'!$S$3:$T$10,2,FALSE)))&gt;0,"E","D"),"D"))))))))</f>
        <v>AL</v>
      </c>
      <c r="X25" s="40" t="str">
        <f>IF(COUNTIF(PH!$A:$A,X$16)&gt;0,"PH",
IF(AND(SUMPRODUCT(($B$9:$AG$10=IFERROR(VLOOKUP($B25,'On call stat'!$S$3:$T$20,2,FALSE),""))*($B$3:$AG$3=X$16))&gt;0,OR(WEEKDAY(X$16,2)=6,),OR($B25="Chan, Man Wai",$B25="Ng Suet Ping, Yoko",$B25="Li Mui Ying",$B25="Lee Ka Po, Kathy",$B25="Huang Huanrao, Yoyo")),"HDAL",
IF(OR(WEEKDAY(X$16,2)=7,AND(WEEKDAY(X$16,2)=6,SUMPRODUCT(($B$9:$AG$10=IFERROR(VLOOKUP($B25,'On call stat'!$S$3:$T$20,2,FALSE),""))*($B$3:$AG$3=X$16))&gt;0)),"DO",
IF(SUMPRODUCT(($B$9:$AG$10=IFERROR(VLOOKUP($B25,'On call stat'!$S$3:$T$20,2,FALSE),""))*($B$3:$AG$3=X$16))&gt;0,"AL",
IF(WEEKDAY(X$16,2)=6,
IF($B25="Chan, Man Wai","HD",
IF($B25="Ng Suet Ping, Yoko","HD",
IF($B25="Li Mui Ying","HD1",
IF($B25="Huang Huanrao, Yoyo",IF(MOD(X$13,2)=1,"HD2",IFERROR(IF(SUMPRODUCT(($B$3:$AG$3=X$16)*($B$5:$AG$7=VLOOKUP($B25,'On call stat'!$S$3:$T$10,2,FALSE)))&gt;0,"D","DO"),"DO")),
IF($B25="Lee Ka Po, Kathy",IF(MOD(X$13,2)=0,"HD2",IFERROR(IF(SUMPRODUCT(($B$3:$AG$3=X$16)*($B$5:$AG$7=VLOOKUP($B25,'On call stat'!$S$3:$T$10,2,FALSE)))&gt;0,"D","DO"),"DO")),
IF($B25="Fan Hoi Wan, Ivy",IF(MOD(X$13,2)=0,"D",IFERROR(IF(SUMPRODUCT(($B$3:$AG$3=X$16)*($B$5:$AG$7=VLOOKUP($B25,'On call stat'!$S$3:$T$10,2,FALSE)))&gt;0,"D","DO"),"DO")),
IFERROR(IF(SUMPRODUCT(($B$3:$AG$3=X$16)*($B$5:$AG$7=VLOOKUP($B25,'On call stat'!$S$3:$T$10,2,FALSE)))&gt;0,"D","DO"),"DO"))))))),
IF($B25="Huang Huanrao, Yoyo",IF(MOD(X$13,2)=1,"D1","B6"),
IF($B25="Lee Ka Po, Kathy",IF(MOD(X$13,2)=0,"D1","B6"),
IFERROR(IF(SUMPRODUCT(($B$3:$AG$3=X$16)*($B$5:$AG$7=VLOOKUP($B25,'On call stat'!$S$3:$T$10,2,FALSE)))&gt;0,"E","D"),"D"))))))))</f>
        <v>AL</v>
      </c>
      <c r="Y25" s="40" t="str">
        <f>IF(COUNTIF(PH!$A:$A,Y$16)&gt;0,"PH",
IF(AND(SUMPRODUCT(($B$9:$AG$10=IFERROR(VLOOKUP($B25,'On call stat'!$S$3:$T$20,2,FALSE),""))*($B$3:$AG$3=Y$16))&gt;0,OR(WEEKDAY(Y$16,2)=6,),OR($B25="Chan, Man Wai",$B25="Ng Suet Ping, Yoko",$B25="Li Mui Ying",$B25="Lee Ka Po, Kathy",$B25="Huang Huanrao, Yoyo")),"HDAL",
IF(OR(WEEKDAY(Y$16,2)=7,AND(WEEKDAY(Y$16,2)=6,SUMPRODUCT(($B$9:$AG$10=IFERROR(VLOOKUP($B25,'On call stat'!$S$3:$T$20,2,FALSE),""))*($B$3:$AG$3=Y$16))&gt;0)),"DO",
IF(SUMPRODUCT(($B$9:$AG$10=IFERROR(VLOOKUP($B25,'On call stat'!$S$3:$T$20,2,FALSE),""))*($B$3:$AG$3=Y$16))&gt;0,"AL",
IF(WEEKDAY(Y$16,2)=6,
IF($B25="Chan, Man Wai","HD",
IF($B25="Ng Suet Ping, Yoko","HD",
IF($B25="Li Mui Ying","HD1",
IF($B25="Huang Huanrao, Yoyo",IF(MOD(Y$13,2)=1,"HD2",IFERROR(IF(SUMPRODUCT(($B$3:$AG$3=Y$16)*($B$5:$AG$7=VLOOKUP($B25,'On call stat'!$S$3:$T$10,2,FALSE)))&gt;0,"D","DO"),"DO")),
IF($B25="Lee Ka Po, Kathy",IF(MOD(Y$13,2)=0,"HD2",IFERROR(IF(SUMPRODUCT(($B$3:$AG$3=Y$16)*($B$5:$AG$7=VLOOKUP($B25,'On call stat'!$S$3:$T$10,2,FALSE)))&gt;0,"D","DO"),"DO")),
IF($B25="Fan Hoi Wan, Ivy",IF(MOD(Y$13,2)=0,"D",IFERROR(IF(SUMPRODUCT(($B$3:$AG$3=Y$16)*($B$5:$AG$7=VLOOKUP($B25,'On call stat'!$S$3:$T$10,2,FALSE)))&gt;0,"D","DO"),"DO")),
IFERROR(IF(SUMPRODUCT(($B$3:$AG$3=Y$16)*($B$5:$AG$7=VLOOKUP($B25,'On call stat'!$S$3:$T$10,2,FALSE)))&gt;0,"D","DO"),"DO"))))))),
IF($B25="Huang Huanrao, Yoyo",IF(MOD(Y$13,2)=1,"D1","B6"),
IF($B25="Lee Ka Po, Kathy",IF(MOD(Y$13,2)=0,"D1","B6"),
IFERROR(IF(SUMPRODUCT(($B$3:$AG$3=Y$16)*($B$5:$AG$7=VLOOKUP($B25,'On call stat'!$S$3:$T$10,2,FALSE)))&gt;0,"E","D"),"D"))))))))</f>
        <v>AL</v>
      </c>
      <c r="Z25" s="40" t="str">
        <f>IF(COUNTIF(PH!$A:$A,Z$16)&gt;0,"PH",
IF(AND(SUMPRODUCT(($B$9:$AG$10=IFERROR(VLOOKUP($B25,'On call stat'!$S$3:$T$20,2,FALSE),""))*($B$3:$AG$3=Z$16))&gt;0,OR(WEEKDAY(Z$16,2)=6,),OR($B25="Chan, Man Wai",$B25="Ng Suet Ping, Yoko",$B25="Li Mui Ying",$B25="Lee Ka Po, Kathy",$B25="Huang Huanrao, Yoyo")),"HDAL",
IF(OR(WEEKDAY(Z$16,2)=7,AND(WEEKDAY(Z$16,2)=6,SUMPRODUCT(($B$9:$AG$10=IFERROR(VLOOKUP($B25,'On call stat'!$S$3:$T$20,2,FALSE),""))*($B$3:$AG$3=Z$16))&gt;0)),"DO",
IF(SUMPRODUCT(($B$9:$AG$10=IFERROR(VLOOKUP($B25,'On call stat'!$S$3:$T$20,2,FALSE),""))*($B$3:$AG$3=Z$16))&gt;0,"AL",
IF(WEEKDAY(Z$16,2)=6,
IF($B25="Chan, Man Wai","HD",
IF($B25="Ng Suet Ping, Yoko","HD",
IF($B25="Li Mui Ying","HD1",
IF($B25="Huang Huanrao, Yoyo",IF(MOD(Z$13,2)=1,"HD2",IFERROR(IF(SUMPRODUCT(($B$3:$AG$3=Z$16)*($B$5:$AG$7=VLOOKUP($B25,'On call stat'!$S$3:$T$10,2,FALSE)))&gt;0,"D","DO"),"DO")),
IF($B25="Lee Ka Po, Kathy",IF(MOD(Z$13,2)=0,"HD2",IFERROR(IF(SUMPRODUCT(($B$3:$AG$3=Z$16)*($B$5:$AG$7=VLOOKUP($B25,'On call stat'!$S$3:$T$10,2,FALSE)))&gt;0,"D","DO"),"DO")),
IF($B25="Fan Hoi Wan, Ivy",IF(MOD(Z$13,2)=0,"D",IFERROR(IF(SUMPRODUCT(($B$3:$AG$3=Z$16)*($B$5:$AG$7=VLOOKUP($B25,'On call stat'!$S$3:$T$10,2,FALSE)))&gt;0,"D","DO"),"DO")),
IFERROR(IF(SUMPRODUCT(($B$3:$AG$3=Z$16)*($B$5:$AG$7=VLOOKUP($B25,'On call stat'!$S$3:$T$10,2,FALSE)))&gt;0,"D","DO"),"DO"))))))),
IF($B25="Huang Huanrao, Yoyo",IF(MOD(Z$13,2)=1,"D1","B6"),
IF($B25="Lee Ka Po, Kathy",IF(MOD(Z$13,2)=0,"D1","B6"),
IFERROR(IF(SUMPRODUCT(($B$3:$AG$3=Z$16)*($B$5:$AG$7=VLOOKUP($B25,'On call stat'!$S$3:$T$10,2,FALSE)))&gt;0,"E","D"),"D"))))))))</f>
        <v>AL</v>
      </c>
      <c r="AA25" s="40" t="str">
        <f>IF(COUNTIF(PH!$A:$A,AA$16)&gt;0,"PH",
IF(AND(SUMPRODUCT(($B$9:$AG$10=IFERROR(VLOOKUP($B25,'On call stat'!$S$3:$T$20,2,FALSE),""))*($B$3:$AG$3=AA$16))&gt;0,OR(WEEKDAY(AA$16,2)=6,),OR($B25="Chan, Man Wai",$B25="Ng Suet Ping, Yoko",$B25="Li Mui Ying",$B25="Lee Ka Po, Kathy",$B25="Huang Huanrao, Yoyo")),"HDAL",
IF(OR(WEEKDAY(AA$16,2)=7,AND(WEEKDAY(AA$16,2)=6,SUMPRODUCT(($B$9:$AG$10=IFERROR(VLOOKUP($B25,'On call stat'!$S$3:$T$20,2,FALSE),""))*($B$3:$AG$3=AA$16))&gt;0)),"DO",
IF(SUMPRODUCT(($B$9:$AG$10=IFERROR(VLOOKUP($B25,'On call stat'!$S$3:$T$20,2,FALSE),""))*($B$3:$AG$3=AA$16))&gt;0,"AL",
IF(WEEKDAY(AA$16,2)=6,
IF($B25="Chan, Man Wai","HD",
IF($B25="Ng Suet Ping, Yoko","HD",
IF($B25="Li Mui Ying","HD1",
IF($B25="Huang Huanrao, Yoyo",IF(MOD(AA$13,2)=1,"HD2",IFERROR(IF(SUMPRODUCT(($B$3:$AG$3=AA$16)*($B$5:$AG$7=VLOOKUP($B25,'On call stat'!$S$3:$T$10,2,FALSE)))&gt;0,"D","DO"),"DO")),
IF($B25="Lee Ka Po, Kathy",IF(MOD(AA$13,2)=0,"HD2",IFERROR(IF(SUMPRODUCT(($B$3:$AG$3=AA$16)*($B$5:$AG$7=VLOOKUP($B25,'On call stat'!$S$3:$T$10,2,FALSE)))&gt;0,"D","DO"),"DO")),
IF($B25="Fan Hoi Wan, Ivy",IF(MOD(AA$13,2)=0,"D",IFERROR(IF(SUMPRODUCT(($B$3:$AG$3=AA$16)*($B$5:$AG$7=VLOOKUP($B25,'On call stat'!$S$3:$T$10,2,FALSE)))&gt;0,"D","DO"),"DO")),
IFERROR(IF(SUMPRODUCT(($B$3:$AG$3=AA$16)*($B$5:$AG$7=VLOOKUP($B25,'On call stat'!$S$3:$T$10,2,FALSE)))&gt;0,"D","DO"),"DO"))))))),
IF($B25="Huang Huanrao, Yoyo",IF(MOD(AA$13,2)=1,"D1","B6"),
IF($B25="Lee Ka Po, Kathy",IF(MOD(AA$13,2)=0,"D1","B6"),
IFERROR(IF(SUMPRODUCT(($B$3:$AG$3=AA$16)*($B$5:$AG$7=VLOOKUP($B25,'On call stat'!$S$3:$T$10,2,FALSE)))&gt;0,"E","D"),"D"))))))))</f>
        <v>PH</v>
      </c>
      <c r="AB25" s="40" t="str">
        <f>IF(COUNTIF(PH!$A:$A,AB$16)&gt;0,"PH",
IF(AND(SUMPRODUCT(($B$9:$AG$10=IFERROR(VLOOKUP($B25,'On call stat'!$S$3:$T$20,2,FALSE),""))*($B$3:$AG$3=AB$16))&gt;0,OR(WEEKDAY(AB$16,2)=6,),OR($B25="Chan, Man Wai",$B25="Ng Suet Ping, Yoko",$B25="Li Mui Ying",$B25="Lee Ka Po, Kathy",$B25="Huang Huanrao, Yoyo")),"HDAL",
IF(OR(WEEKDAY(AB$16,2)=7,AND(WEEKDAY(AB$16,2)=6,SUMPRODUCT(($B$9:$AG$10=IFERROR(VLOOKUP($B25,'On call stat'!$S$3:$T$20,2,FALSE),""))*($B$3:$AG$3=AB$16))&gt;0)),"DO",
IF(SUMPRODUCT(($B$9:$AG$10=IFERROR(VLOOKUP($B25,'On call stat'!$S$3:$T$20,2,FALSE),""))*($B$3:$AG$3=AB$16))&gt;0,"AL",
IF(WEEKDAY(AB$16,2)=6,
IF($B25="Chan, Man Wai","HD",
IF($B25="Ng Suet Ping, Yoko","HD",
IF($B25="Li Mui Ying","HD1",
IF($B25="Huang Huanrao, Yoyo",IF(MOD(AB$13,2)=1,"HD2",IFERROR(IF(SUMPRODUCT(($B$3:$AG$3=AB$16)*($B$5:$AG$7=VLOOKUP($B25,'On call stat'!$S$3:$T$10,2,FALSE)))&gt;0,"D","DO"),"DO")),
IF($B25="Lee Ka Po, Kathy",IF(MOD(AB$13,2)=0,"HD2",IFERROR(IF(SUMPRODUCT(($B$3:$AG$3=AB$16)*($B$5:$AG$7=VLOOKUP($B25,'On call stat'!$S$3:$T$10,2,FALSE)))&gt;0,"D","DO"),"DO")),
IF($B25="Fan Hoi Wan, Ivy",IF(MOD(AB$13,2)=0,"D",IFERROR(IF(SUMPRODUCT(($B$3:$AG$3=AB$16)*($B$5:$AG$7=VLOOKUP($B25,'On call stat'!$S$3:$T$10,2,FALSE)))&gt;0,"D","DO"),"DO")),
IFERROR(IF(SUMPRODUCT(($B$3:$AG$3=AB$16)*($B$5:$AG$7=VLOOKUP($B25,'On call stat'!$S$3:$T$10,2,FALSE)))&gt;0,"D","DO"),"DO"))))))),
IF($B25="Huang Huanrao, Yoyo",IF(MOD(AB$13,2)=1,"D1","B6"),
IF($B25="Lee Ka Po, Kathy",IF(MOD(AB$13,2)=0,"D1","B6"),
IFERROR(IF(SUMPRODUCT(($B$3:$AG$3=AB$16)*($B$5:$AG$7=VLOOKUP($B25,'On call stat'!$S$3:$T$10,2,FALSE)))&gt;0,"E","D"),"D"))))))))</f>
        <v>PH</v>
      </c>
      <c r="AC25" s="40" t="str">
        <f>IF(COUNTIF(PH!$A:$A,AC$16)&gt;0,"PH",
IF(AND(SUMPRODUCT(($B$9:$AG$10=IFERROR(VLOOKUP($B25,'On call stat'!$S$3:$T$20,2,FALSE),""))*($B$3:$AG$3=AC$16))&gt;0,OR(WEEKDAY(AC$16,2)=6,),OR($B25="Chan, Man Wai",$B25="Ng Suet Ping, Yoko",$B25="Li Mui Ying",$B25="Lee Ka Po, Kathy",$B25="Huang Huanrao, Yoyo")),"HDAL",
IF(OR(WEEKDAY(AC$16,2)=7,AND(WEEKDAY(AC$16,2)=6,SUMPRODUCT(($B$9:$AG$10=IFERROR(VLOOKUP($B25,'On call stat'!$S$3:$T$20,2,FALSE),""))*($B$3:$AG$3=AC$16))&gt;0)),"DO",
IF(SUMPRODUCT(($B$9:$AG$10=IFERROR(VLOOKUP($B25,'On call stat'!$S$3:$T$20,2,FALSE),""))*($B$3:$AG$3=AC$16))&gt;0,"AL",
IF(WEEKDAY(AC$16,2)=6,
IF($B25="Chan, Man Wai","HD",
IF($B25="Ng Suet Ping, Yoko","HD",
IF($B25="Li Mui Ying","HD1",
IF($B25="Huang Huanrao, Yoyo",IF(MOD(AC$13,2)=1,"HD2",IFERROR(IF(SUMPRODUCT(($B$3:$AG$3=AC$16)*($B$5:$AG$7=VLOOKUP($B25,'On call stat'!$S$3:$T$10,2,FALSE)))&gt;0,"D","DO"),"DO")),
IF($B25="Lee Ka Po, Kathy",IF(MOD(AC$13,2)=0,"HD2",IFERROR(IF(SUMPRODUCT(($B$3:$AG$3=AC$16)*($B$5:$AG$7=VLOOKUP($B25,'On call stat'!$S$3:$T$10,2,FALSE)))&gt;0,"D","DO"),"DO")),
IF($B25="Fan Hoi Wan, Ivy",IF(MOD(AC$13,2)=0,"D",IFERROR(IF(SUMPRODUCT(($B$3:$AG$3=AC$16)*($B$5:$AG$7=VLOOKUP($B25,'On call stat'!$S$3:$T$10,2,FALSE)))&gt;0,"D","DO"),"DO")),
IFERROR(IF(SUMPRODUCT(($B$3:$AG$3=AC$16)*($B$5:$AG$7=VLOOKUP($B25,'On call stat'!$S$3:$T$10,2,FALSE)))&gt;0,"D","DO"),"DO"))))))),
IF($B25="Huang Huanrao, Yoyo",IF(MOD(AC$13,2)=1,"D1","B6"),
IF($B25="Lee Ka Po, Kathy",IF(MOD(AC$13,2)=0,"D1","B6"),
IFERROR(IF(SUMPRODUCT(($B$3:$AG$3=AC$16)*($B$5:$AG$7=VLOOKUP($B25,'On call stat'!$S$3:$T$10,2,FALSE)))&gt;0,"E","D"),"D"))))))))</f>
        <v>DO</v>
      </c>
      <c r="AD25" s="40" t="str">
        <f>IF(COUNTIF(PH!$A:$A,AD$16)&gt;0,"PH",
IF(AND(SUMPRODUCT(($B$9:$AG$10=IFERROR(VLOOKUP($B25,'On call stat'!$S$3:$T$20,2,FALSE),""))*($B$3:$AG$3=AD$16))&gt;0,OR(WEEKDAY(AD$16,2)=6,),OR($B25="Chan, Man Wai",$B25="Ng Suet Ping, Yoko",$B25="Li Mui Ying",$B25="Lee Ka Po, Kathy",$B25="Huang Huanrao, Yoyo")),"HDAL",
IF(OR(WEEKDAY(AD$16,2)=7,AND(WEEKDAY(AD$16,2)=6,SUMPRODUCT(($B$9:$AG$10=IFERROR(VLOOKUP($B25,'On call stat'!$S$3:$T$20,2,FALSE),""))*($B$3:$AG$3=AD$16))&gt;0)),"DO",
IF(SUMPRODUCT(($B$9:$AG$10=IFERROR(VLOOKUP($B25,'On call stat'!$S$3:$T$20,2,FALSE),""))*($B$3:$AG$3=AD$16))&gt;0,"AL",
IF(WEEKDAY(AD$16,2)=6,
IF($B25="Chan, Man Wai","HD",
IF($B25="Ng Suet Ping, Yoko","HD",
IF($B25="Li Mui Ying","HD1",
IF($B25="Huang Huanrao, Yoyo",IF(MOD(AD$13,2)=1,"HD2",IFERROR(IF(SUMPRODUCT(($B$3:$AG$3=AD$16)*($B$5:$AG$7=VLOOKUP($B25,'On call stat'!$S$3:$T$10,2,FALSE)))&gt;0,"D","DO"),"DO")),
IF($B25="Lee Ka Po, Kathy",IF(MOD(AD$13,2)=0,"HD2",IFERROR(IF(SUMPRODUCT(($B$3:$AG$3=AD$16)*($B$5:$AG$7=VLOOKUP($B25,'On call stat'!$S$3:$T$10,2,FALSE)))&gt;0,"D","DO"),"DO")),
IF($B25="Fan Hoi Wan, Ivy",IF(MOD(AD$13,2)=0,"D",IFERROR(IF(SUMPRODUCT(($B$3:$AG$3=AD$16)*($B$5:$AG$7=VLOOKUP($B25,'On call stat'!$S$3:$T$10,2,FALSE)))&gt;0,"D","DO"),"DO")),
IFERROR(IF(SUMPRODUCT(($B$3:$AG$3=AD$16)*($B$5:$AG$7=VLOOKUP($B25,'On call stat'!$S$3:$T$10,2,FALSE)))&gt;0,"D","DO"),"DO"))))))),
IF($B25="Huang Huanrao, Yoyo",IF(MOD(AD$13,2)=1,"D1","B6"),
IF($B25="Lee Ka Po, Kathy",IF(MOD(AD$13,2)=0,"D1","B6"),
IFERROR(IF(SUMPRODUCT(($B$3:$AG$3=AD$16)*($B$5:$AG$7=VLOOKUP($B25,'On call stat'!$S$3:$T$10,2,FALSE)))&gt;0,"E","D"),"D"))))))))</f>
        <v>AL</v>
      </c>
      <c r="AE25" s="40" t="str">
        <f>IF(COUNTIF(PH!$A:$A,AE$16)&gt;0,"PH",
IF(AND(SUMPRODUCT(($B$9:$AG$10=IFERROR(VLOOKUP($B25,'On call stat'!$S$3:$T$20,2,FALSE),""))*($B$3:$AG$3=AE$16))&gt;0,OR(WEEKDAY(AE$16,2)=6,),OR($B25="Chan, Man Wai",$B25="Ng Suet Ping, Yoko",$B25="Li Mui Ying",$B25="Lee Ka Po, Kathy",$B25="Huang Huanrao, Yoyo")),"HDAL",
IF(OR(WEEKDAY(AE$16,2)=7,AND(WEEKDAY(AE$16,2)=6,SUMPRODUCT(($B$9:$AG$10=IFERROR(VLOOKUP($B25,'On call stat'!$S$3:$T$20,2,FALSE),""))*($B$3:$AG$3=AE$16))&gt;0)),"DO",
IF(SUMPRODUCT(($B$9:$AG$10=IFERROR(VLOOKUP($B25,'On call stat'!$S$3:$T$20,2,FALSE),""))*($B$3:$AG$3=AE$16))&gt;0,"AL",
IF(WEEKDAY(AE$16,2)=6,
IF($B25="Chan, Man Wai","HD",
IF($B25="Ng Suet Ping, Yoko","HD",
IF($B25="Li Mui Ying","HD1",
IF($B25="Huang Huanrao, Yoyo",IF(MOD(AE$13,2)=1,"HD2",IFERROR(IF(SUMPRODUCT(($B$3:$AG$3=AE$16)*($B$5:$AG$7=VLOOKUP($B25,'On call stat'!$S$3:$T$10,2,FALSE)))&gt;0,"D","DO"),"DO")),
IF($B25="Lee Ka Po, Kathy",IF(MOD(AE$13,2)=0,"HD2",IFERROR(IF(SUMPRODUCT(($B$3:$AG$3=AE$16)*($B$5:$AG$7=VLOOKUP($B25,'On call stat'!$S$3:$T$10,2,FALSE)))&gt;0,"D","DO"),"DO")),
IF($B25="Fan Hoi Wan, Ivy",IF(MOD(AE$13,2)=0,"D",IFERROR(IF(SUMPRODUCT(($B$3:$AG$3=AE$16)*($B$5:$AG$7=VLOOKUP($B25,'On call stat'!$S$3:$T$10,2,FALSE)))&gt;0,"D","DO"),"DO")),
IFERROR(IF(SUMPRODUCT(($B$3:$AG$3=AE$16)*($B$5:$AG$7=VLOOKUP($B25,'On call stat'!$S$3:$T$10,2,FALSE)))&gt;0,"D","DO"),"DO"))))))),
IF($B25="Huang Huanrao, Yoyo",IF(MOD(AE$13,2)=1,"D1","B6"),
IF($B25="Lee Ka Po, Kathy",IF(MOD(AE$13,2)=0,"D1","B6"),
IFERROR(IF(SUMPRODUCT(($B$3:$AG$3=AE$16)*($B$5:$AG$7=VLOOKUP($B25,'On call stat'!$S$3:$T$10,2,FALSE)))&gt;0,"E","D"),"D"))))))))</f>
        <v>AL</v>
      </c>
      <c r="AF25" s="40" t="str">
        <f>IF(COUNTIF(PH!$A:$A,AF$16)&gt;0,"PH",
IF(AND(SUMPRODUCT(($B$9:$AG$10=IFERROR(VLOOKUP($B25,'On call stat'!$S$3:$T$20,2,FALSE),""))*($B$3:$AG$3=AF$16))&gt;0,OR(WEEKDAY(AF$16,2)=6,),OR($B25="Chan, Man Wai",$B25="Ng Suet Ping, Yoko",$B25="Li Mui Ying",$B25="Lee Ka Po, Kathy",$B25="Huang Huanrao, Yoyo")),"HDAL",
IF(OR(WEEKDAY(AF$16,2)=7,AND(WEEKDAY(AF$16,2)=6,SUMPRODUCT(($B$9:$AG$10=IFERROR(VLOOKUP($B25,'On call stat'!$S$3:$T$20,2,FALSE),""))*($B$3:$AG$3=AF$16))&gt;0)),"DO",
IF(SUMPRODUCT(($B$9:$AG$10=IFERROR(VLOOKUP($B25,'On call stat'!$S$3:$T$20,2,FALSE),""))*($B$3:$AG$3=AF$16))&gt;0,"AL",
IF(WEEKDAY(AF$16,2)=6,
IF($B25="Chan, Man Wai","HD",
IF($B25="Ng Suet Ping, Yoko","HD",
IF($B25="Li Mui Ying","HD1",
IF($B25="Huang Huanrao, Yoyo",IF(MOD(AF$13,2)=1,"HD2",IFERROR(IF(SUMPRODUCT(($B$3:$AG$3=AF$16)*($B$5:$AG$7=VLOOKUP($B25,'On call stat'!$S$3:$T$10,2,FALSE)))&gt;0,"D","DO"),"DO")),
IF($B25="Lee Ka Po, Kathy",IF(MOD(AF$13,2)=0,"HD2",IFERROR(IF(SUMPRODUCT(($B$3:$AG$3=AF$16)*($B$5:$AG$7=VLOOKUP($B25,'On call stat'!$S$3:$T$10,2,FALSE)))&gt;0,"D","DO"),"DO")),
IF($B25="Fan Hoi Wan, Ivy",IF(MOD(AF$13,2)=0,"D",IFERROR(IF(SUMPRODUCT(($B$3:$AG$3=AF$16)*($B$5:$AG$7=VLOOKUP($B25,'On call stat'!$S$3:$T$10,2,FALSE)))&gt;0,"D","DO"),"DO")),
IFERROR(IF(SUMPRODUCT(($B$3:$AG$3=AF$16)*($B$5:$AG$7=VLOOKUP($B25,'On call stat'!$S$3:$T$10,2,FALSE)))&gt;0,"D","DO"),"DO"))))))),
IF($B25="Huang Huanrao, Yoyo",IF(MOD(AF$13,2)=1,"D1","B6"),
IF($B25="Lee Ka Po, Kathy",IF(MOD(AF$13,2)=0,"D1","B6"),
IFERROR(IF(SUMPRODUCT(($B$3:$AG$3=AF$16)*($B$5:$AG$7=VLOOKUP($B25,'On call stat'!$S$3:$T$10,2,FALSE)))&gt;0,"E","D"),"D"))))))))</f>
        <v>AL</v>
      </c>
      <c r="AG25" s="40" t="str">
        <f>IF(COUNTIF(PH!$A:$A,AG$16)&gt;0,"PH",
IF(AND(SUMPRODUCT(($B$9:$AG$10=IFERROR(VLOOKUP($B25,'On call stat'!$S$3:$T$20,2,FALSE),""))*($B$3:$AG$3=AG$16))&gt;0,OR(WEEKDAY(AG$16,2)=6,),OR($B25="Chan, Man Wai",$B25="Ng Suet Ping, Yoko",$B25="Li Mui Ying",$B25="Lee Ka Po, Kathy",$B25="Huang Huanrao, Yoyo")),"HDAL",
IF(OR(WEEKDAY(AG$16,2)=7,AND(WEEKDAY(AG$16,2)=6,SUMPRODUCT(($B$9:$AG$10=IFERROR(VLOOKUP($B25,'On call stat'!$S$3:$T$20,2,FALSE),""))*($B$3:$AG$3=AG$16))&gt;0)),"DO",
IF(SUMPRODUCT(($B$9:$AG$10=IFERROR(VLOOKUP($B25,'On call stat'!$S$3:$T$20,2,FALSE),""))*($B$3:$AG$3=AG$16))&gt;0,"AL",
IF(WEEKDAY(AG$16,2)=6,
IF($B25="Chan, Man Wai","HD",
IF($B25="Ng Suet Ping, Yoko","HD",
IF($B25="Li Mui Ying","HD1",
IF($B25="Huang Huanrao, Yoyo",IF(MOD(AG$13,2)=1,"HD2",IFERROR(IF(SUMPRODUCT(($B$3:$AG$3=AG$16)*($B$5:$AG$7=VLOOKUP($B25,'On call stat'!$S$3:$T$10,2,FALSE)))&gt;0,"D","DO"),"DO")),
IF($B25="Lee Ka Po, Kathy",IF(MOD(AG$13,2)=0,"HD2",IFERROR(IF(SUMPRODUCT(($B$3:$AG$3=AG$16)*($B$5:$AG$7=VLOOKUP($B25,'On call stat'!$S$3:$T$10,2,FALSE)))&gt;0,"D","DO"),"DO")),
IF($B25="Fan Hoi Wan, Ivy",IF(MOD(AG$13,2)=0,"D",IFERROR(IF(SUMPRODUCT(($B$3:$AG$3=AG$16)*($B$5:$AG$7=VLOOKUP($B25,'On call stat'!$S$3:$T$10,2,FALSE)))&gt;0,"D","DO"),"DO")),
IFERROR(IF(SUMPRODUCT(($B$3:$AG$3=AG$16)*($B$5:$AG$7=VLOOKUP($B25,'On call stat'!$S$3:$T$10,2,FALSE)))&gt;0,"D","DO"),"DO"))))))),
IF($B25="Huang Huanrao, Yoyo",IF(MOD(AG$13,2)=1,"D1","B6"),
IF($B25="Lee Ka Po, Kathy",IF(MOD(AG$13,2)=0,"D1","B6"),
IFERROR(IF(SUMPRODUCT(($B$3:$AG$3=AG$16)*($B$5:$AG$7=VLOOKUP($B25,'On call stat'!$S$3:$T$10,2,FALSE)))&gt;0,"E","D"),"D"))))))))</f>
        <v>AL</v>
      </c>
      <c r="AK25" s="11" t="s">
        <v>27</v>
      </c>
      <c r="AL25" s="65">
        <f t="shared" si="4"/>
        <v>128</v>
      </c>
      <c r="AM25" s="66" cm="1">
        <f t="array" ref="AM25">SUMPRODUCT((C25:AG25="AL") *  (COUNTIF(PH!$A:$A, C$16:AG$16)=0) *(WEEKDAY(C$16:AG$16,2)&lt;=5) *  8)+SUMPRODUCT((C25:AG25="HDAL") *  (COUNTIF(PH!$A:$A, C$16:AG$16)=0) *(WEEKDAY(C$16:AG$16,2)&lt;=6) *  4)</f>
        <v>64</v>
      </c>
      <c r="AN25" s="68">
        <f t="shared" si="5"/>
        <v>192</v>
      </c>
      <c r="AO25" s="67">
        <f>AN25-$AN$18-4</f>
        <v>0</v>
      </c>
      <c r="AP25" s="67">
        <f>AO25+Nov!AP25</f>
        <v>-4</v>
      </c>
    </row>
    <row r="26" spans="1:42" ht="37.5" customHeight="1" thickBot="1">
      <c r="A26" s="23" t="s">
        <v>57</v>
      </c>
      <c r="B26" s="22" t="s">
        <v>62</v>
      </c>
      <c r="C26" s="40" t="str">
        <f>IF(COUNTIF(PH!$A:$A,C$16)&gt;0,"PH",
IF(AND(SUMPRODUCT(($B$9:$AG$10=IFERROR(VLOOKUP($B26,'On call stat'!$S$3:$T$20,2,FALSE),""))*($B$3:$AG$3=C$16))&gt;0,OR(WEEKDAY(C$16,2)=6,),OR($B26="Chan, Man Wai",$B26="Ng Suet Ping, Yoko",$B26="Li Mui Ying",$B26="Lee Ka Po, Kathy",$B26="Huang Huanrao, Yoyo")),"HDAL",
IF(OR(WEEKDAY(C$16,2)=7,AND(WEEKDAY(C$16,2)=6,SUMPRODUCT(($B$9:$AG$10=IFERROR(VLOOKUP($B26,'On call stat'!$S$3:$T$20,2,FALSE),""))*($B$3:$AG$3=C$16))&gt;0)),"DO",
IF(SUMPRODUCT(($B$9:$AG$10=IFERROR(VLOOKUP($B26,'On call stat'!$S$3:$T$20,2,FALSE),""))*($B$3:$AG$3=C$16))&gt;0,"AL",
IF(WEEKDAY(C$16,2)=6,
IF($B26="Chan, Man Wai","HD",
IF($B26="Ng Suet Ping, Yoko","HD",
IF($B26="Li Mui Ying","HD1",
IF($B26="Huang Huanrao, Yoyo",IF(MOD(C$13,2)=1,"HD2",IFERROR(IF(SUMPRODUCT(($B$3:$AG$3=C$16)*($B$5:$AG$7=VLOOKUP($B26,'On call stat'!$S$3:$T$10,2,FALSE)))&gt;0,"D","DO"),"DO")),
IF($B26="Lee Ka Po, Kathy",IF(MOD(C$13,2)=0,"HD2",IFERROR(IF(SUMPRODUCT(($B$3:$AG$3=C$16)*($B$5:$AG$7=VLOOKUP($B26,'On call stat'!$S$3:$T$10,2,FALSE)))&gt;0,"D","DO"),"DO")),
IF($B26="Fan Hoi Wan, Ivy",IF(MOD(C$13,2)=0,"D",IFERROR(IF(SUMPRODUCT(($B$3:$AG$3=C$16)*($B$5:$AG$7=VLOOKUP($B26,'On call stat'!$S$3:$T$10,2,FALSE)))&gt;0,"D","DO"),"DO")),
IFERROR(IF(SUMPRODUCT(($B$3:$AG$3=C$16)*($B$5:$AG$7=VLOOKUP($B26,'On call stat'!$S$3:$T$10,2,FALSE)))&gt;0,"D","DO"),"DO"))))))),
IF($B26="Huang Huanrao, Yoyo",IF(MOD(C$13,2)=1,"D1","B6"),
IF($B26="Lee Ka Po, Kathy",IF(MOD(C$13,2)=0,"D1","B6"),
IFERROR(IF(SUMPRODUCT(($B$3:$AG$3=C$16)*($B$5:$AG$7=VLOOKUP($B26,'On call stat'!$S$3:$T$10,2,FALSE)))&gt;0,"E","D"),"D"))))))))</f>
        <v>E</v>
      </c>
      <c r="D26" s="40" t="str">
        <f>IF(COUNTIF(PH!$A:$A,D$16)&gt;0,"PH",
IF(AND(SUMPRODUCT(($B$9:$AG$10=IFERROR(VLOOKUP($B26,'On call stat'!$S$3:$T$20,2,FALSE),""))*($B$3:$AG$3=D$16))&gt;0,OR(WEEKDAY(D$16,2)=6,),OR($B26="Chan, Man Wai",$B26="Ng Suet Ping, Yoko",$B26="Li Mui Ying",$B26="Lee Ka Po, Kathy",$B26="Huang Huanrao, Yoyo")),"HDAL",
IF(OR(WEEKDAY(D$16,2)=7,AND(WEEKDAY(D$16,2)=6,SUMPRODUCT(($B$9:$AG$10=IFERROR(VLOOKUP($B26,'On call stat'!$S$3:$T$20,2,FALSE),""))*($B$3:$AG$3=D$16))&gt;0)),"DO",
IF(SUMPRODUCT(($B$9:$AG$10=IFERROR(VLOOKUP($B26,'On call stat'!$S$3:$T$20,2,FALSE),""))*($B$3:$AG$3=D$16))&gt;0,"AL",
IF(WEEKDAY(D$16,2)=6,
IF($B26="Chan, Man Wai","HD",
IF($B26="Ng Suet Ping, Yoko","HD",
IF($B26="Li Mui Ying","HD1",
IF($B26="Huang Huanrao, Yoyo",IF(MOD(D$13,2)=1,"HD2",IFERROR(IF(SUMPRODUCT(($B$3:$AG$3=D$16)*($B$5:$AG$7=VLOOKUP($B26,'On call stat'!$S$3:$T$10,2,FALSE)))&gt;0,"D","DO"),"DO")),
IF($B26="Lee Ka Po, Kathy",IF(MOD(D$13,2)=0,"HD2",IFERROR(IF(SUMPRODUCT(($B$3:$AG$3=D$16)*($B$5:$AG$7=VLOOKUP($B26,'On call stat'!$S$3:$T$10,2,FALSE)))&gt;0,"D","DO"),"DO")),
IF($B26="Fan Hoi Wan, Ivy",IF(MOD(D$13,2)=0,"D",IFERROR(IF(SUMPRODUCT(($B$3:$AG$3=D$16)*($B$5:$AG$7=VLOOKUP($B26,'On call stat'!$S$3:$T$10,2,FALSE)))&gt;0,"D","DO"),"DO")),
IFERROR(IF(SUMPRODUCT(($B$3:$AG$3=D$16)*($B$5:$AG$7=VLOOKUP($B26,'On call stat'!$S$3:$T$10,2,FALSE)))&gt;0,"D","DO"),"DO"))))))),
IF($B26="Huang Huanrao, Yoyo",IF(MOD(D$13,2)=1,"D1","B6"),
IF($B26="Lee Ka Po, Kathy",IF(MOD(D$13,2)=0,"D1","B6"),
IFERROR(IF(SUMPRODUCT(($B$3:$AG$3=D$16)*($B$5:$AG$7=VLOOKUP($B26,'On call stat'!$S$3:$T$10,2,FALSE)))&gt;0,"E","D"),"D"))))))))</f>
        <v>E</v>
      </c>
      <c r="E26" s="40" t="str">
        <f>IF(COUNTIF(PH!$A:$A,E$16)&gt;0,"PH",
IF(AND(SUMPRODUCT(($B$9:$AG$10=IFERROR(VLOOKUP($B26,'On call stat'!$S$3:$T$20,2,FALSE),""))*($B$3:$AG$3=E$16))&gt;0,OR(WEEKDAY(E$16,2)=6,),OR($B26="Chan, Man Wai",$B26="Ng Suet Ping, Yoko",$B26="Li Mui Ying",$B26="Lee Ka Po, Kathy",$B26="Huang Huanrao, Yoyo")),"HDAL",
IF(OR(WEEKDAY(E$16,2)=7,AND(WEEKDAY(E$16,2)=6,SUMPRODUCT(($B$9:$AG$10=IFERROR(VLOOKUP($B26,'On call stat'!$S$3:$T$20,2,FALSE),""))*($B$3:$AG$3=E$16))&gt;0)),"DO",
IF(SUMPRODUCT(($B$9:$AG$10=IFERROR(VLOOKUP($B26,'On call stat'!$S$3:$T$20,2,FALSE),""))*($B$3:$AG$3=E$16))&gt;0,"AL",
IF(WEEKDAY(E$16,2)=6,
IF($B26="Chan, Man Wai","HD",
IF($B26="Ng Suet Ping, Yoko","HD",
IF($B26="Li Mui Ying","HD1",
IF($B26="Huang Huanrao, Yoyo",IF(MOD(E$13,2)=1,"HD2",IFERROR(IF(SUMPRODUCT(($B$3:$AG$3=E$16)*($B$5:$AG$7=VLOOKUP($B26,'On call stat'!$S$3:$T$10,2,FALSE)))&gt;0,"D","DO"),"DO")),
IF($B26="Lee Ka Po, Kathy",IF(MOD(E$13,2)=0,"HD2",IFERROR(IF(SUMPRODUCT(($B$3:$AG$3=E$16)*($B$5:$AG$7=VLOOKUP($B26,'On call stat'!$S$3:$T$10,2,FALSE)))&gt;0,"D","DO"),"DO")),
IF($B26="Fan Hoi Wan, Ivy",IF(MOD(E$13,2)=0,"D",IFERROR(IF(SUMPRODUCT(($B$3:$AG$3=E$16)*($B$5:$AG$7=VLOOKUP($B26,'On call stat'!$S$3:$T$10,2,FALSE)))&gt;0,"D","DO"),"DO")),
IFERROR(IF(SUMPRODUCT(($B$3:$AG$3=E$16)*($B$5:$AG$7=VLOOKUP($B26,'On call stat'!$S$3:$T$10,2,FALSE)))&gt;0,"D","DO"),"DO"))))))),
IF($B26="Huang Huanrao, Yoyo",IF(MOD(E$13,2)=1,"D1","B6"),
IF($B26="Lee Ka Po, Kathy",IF(MOD(E$13,2)=0,"D1","B6"),
IFERROR(IF(SUMPRODUCT(($B$3:$AG$3=E$16)*($B$5:$AG$7=VLOOKUP($B26,'On call stat'!$S$3:$T$10,2,FALSE)))&gt;0,"E","D"),"D"))))))))</f>
        <v>E</v>
      </c>
      <c r="F26" s="40" t="str">
        <f>IF(COUNTIF(PH!$A:$A,F$16)&gt;0,"PH",
IF(AND(SUMPRODUCT(($B$9:$AG$10=IFERROR(VLOOKUP($B26,'On call stat'!$S$3:$T$20,2,FALSE),""))*($B$3:$AG$3=F$16))&gt;0,OR(WEEKDAY(F$16,2)=6,),OR($B26="Chan, Man Wai",$B26="Ng Suet Ping, Yoko",$B26="Li Mui Ying",$B26="Lee Ka Po, Kathy",$B26="Huang Huanrao, Yoyo")),"HDAL",
IF(OR(WEEKDAY(F$16,2)=7,AND(WEEKDAY(F$16,2)=6,SUMPRODUCT(($B$9:$AG$10=IFERROR(VLOOKUP($B26,'On call stat'!$S$3:$T$20,2,FALSE),""))*($B$3:$AG$3=F$16))&gt;0)),"DO",
IF(SUMPRODUCT(($B$9:$AG$10=IFERROR(VLOOKUP($B26,'On call stat'!$S$3:$T$20,2,FALSE),""))*($B$3:$AG$3=F$16))&gt;0,"AL",
IF(WEEKDAY(F$16,2)=6,
IF($B26="Chan, Man Wai","HD",
IF($B26="Ng Suet Ping, Yoko","HD",
IF($B26="Li Mui Ying","HD1",
IF($B26="Huang Huanrao, Yoyo",IF(MOD(F$13,2)=1,"HD2",IFERROR(IF(SUMPRODUCT(($B$3:$AG$3=F$16)*($B$5:$AG$7=VLOOKUP($B26,'On call stat'!$S$3:$T$10,2,FALSE)))&gt;0,"D","DO"),"DO")),
IF($B26="Lee Ka Po, Kathy",IF(MOD(F$13,2)=0,"HD2",IFERROR(IF(SUMPRODUCT(($B$3:$AG$3=F$16)*($B$5:$AG$7=VLOOKUP($B26,'On call stat'!$S$3:$T$10,2,FALSE)))&gt;0,"D","DO"),"DO")),
IF($B26="Fan Hoi Wan, Ivy",IF(MOD(F$13,2)=0,"D",IFERROR(IF(SUMPRODUCT(($B$3:$AG$3=F$16)*($B$5:$AG$7=VLOOKUP($B26,'On call stat'!$S$3:$T$10,2,FALSE)))&gt;0,"D","DO"),"DO")),
IFERROR(IF(SUMPRODUCT(($B$3:$AG$3=F$16)*($B$5:$AG$7=VLOOKUP($B26,'On call stat'!$S$3:$T$10,2,FALSE)))&gt;0,"D","DO"),"DO"))))))),
IF($B26="Huang Huanrao, Yoyo",IF(MOD(F$13,2)=1,"D1","B6"),
IF($B26="Lee Ka Po, Kathy",IF(MOD(F$13,2)=0,"D1","B6"),
IFERROR(IF(SUMPRODUCT(($B$3:$AG$3=F$16)*($B$5:$AG$7=VLOOKUP($B26,'On call stat'!$S$3:$T$10,2,FALSE)))&gt;0,"E","D"),"D"))))))))</f>
        <v>E</v>
      </c>
      <c r="G26" s="40" t="str">
        <f>IF(COUNTIF(PH!$A:$A,G$16)&gt;0,"PH",
IF(AND(SUMPRODUCT(($B$9:$AG$10=IFERROR(VLOOKUP($B26,'On call stat'!$S$3:$T$20,2,FALSE),""))*($B$3:$AG$3=G$16))&gt;0,OR(WEEKDAY(G$16,2)=6,),OR($B26="Chan, Man Wai",$B26="Ng Suet Ping, Yoko",$B26="Li Mui Ying",$B26="Lee Ka Po, Kathy",$B26="Huang Huanrao, Yoyo")),"HDAL",
IF(OR(WEEKDAY(G$16,2)=7,AND(WEEKDAY(G$16,2)=6,SUMPRODUCT(($B$9:$AG$10=IFERROR(VLOOKUP($B26,'On call stat'!$S$3:$T$20,2,FALSE),""))*($B$3:$AG$3=G$16))&gt;0)),"DO",
IF(SUMPRODUCT(($B$9:$AG$10=IFERROR(VLOOKUP($B26,'On call stat'!$S$3:$T$20,2,FALSE),""))*($B$3:$AG$3=G$16))&gt;0,"AL",
IF(WEEKDAY(G$16,2)=6,
IF($B26="Chan, Man Wai","HD",
IF($B26="Ng Suet Ping, Yoko","HD",
IF($B26="Li Mui Ying","HD1",
IF($B26="Huang Huanrao, Yoyo",IF(MOD(G$13,2)=1,"HD2",IFERROR(IF(SUMPRODUCT(($B$3:$AG$3=G$16)*($B$5:$AG$7=VLOOKUP($B26,'On call stat'!$S$3:$T$10,2,FALSE)))&gt;0,"D","DO"),"DO")),
IF($B26="Lee Ka Po, Kathy",IF(MOD(G$13,2)=0,"HD2",IFERROR(IF(SUMPRODUCT(($B$3:$AG$3=G$16)*($B$5:$AG$7=VLOOKUP($B26,'On call stat'!$S$3:$T$10,2,FALSE)))&gt;0,"D","DO"),"DO")),
IF($B26="Fan Hoi Wan, Ivy",IF(MOD(G$13,2)=0,"D",IFERROR(IF(SUMPRODUCT(($B$3:$AG$3=G$16)*($B$5:$AG$7=VLOOKUP($B26,'On call stat'!$S$3:$T$10,2,FALSE)))&gt;0,"D","DO"),"DO")),
IFERROR(IF(SUMPRODUCT(($B$3:$AG$3=G$16)*($B$5:$AG$7=VLOOKUP($B26,'On call stat'!$S$3:$T$10,2,FALSE)))&gt;0,"D","DO"),"DO"))))))),
IF($B26="Huang Huanrao, Yoyo",IF(MOD(G$13,2)=1,"D1","B6"),
IF($B26="Lee Ka Po, Kathy",IF(MOD(G$13,2)=0,"D1","B6"),
IFERROR(IF(SUMPRODUCT(($B$3:$AG$3=G$16)*($B$5:$AG$7=VLOOKUP($B26,'On call stat'!$S$3:$T$10,2,FALSE)))&gt;0,"E","D"),"D"))))))))</f>
        <v>D</v>
      </c>
      <c r="H26" s="40" t="str">
        <f>IF(COUNTIF(PH!$A:$A,H$16)&gt;0,"PH",
IF(AND(SUMPRODUCT(($B$9:$AG$10=IFERROR(VLOOKUP($B26,'On call stat'!$S$3:$T$20,2,FALSE),""))*($B$3:$AG$3=H$16))&gt;0,OR(WEEKDAY(H$16,2)=6,),OR($B26="Chan, Man Wai",$B26="Ng Suet Ping, Yoko",$B26="Li Mui Ying",$B26="Lee Ka Po, Kathy",$B26="Huang Huanrao, Yoyo")),"HDAL",
IF(OR(WEEKDAY(H$16,2)=7,AND(WEEKDAY(H$16,2)=6,SUMPRODUCT(($B$9:$AG$10=IFERROR(VLOOKUP($B26,'On call stat'!$S$3:$T$20,2,FALSE),""))*($B$3:$AG$3=H$16))&gt;0)),"DO",
IF(SUMPRODUCT(($B$9:$AG$10=IFERROR(VLOOKUP($B26,'On call stat'!$S$3:$T$20,2,FALSE),""))*($B$3:$AG$3=H$16))&gt;0,"AL",
IF(WEEKDAY(H$16,2)=6,
IF($B26="Chan, Man Wai","HD",
IF($B26="Ng Suet Ping, Yoko","HD",
IF($B26="Li Mui Ying","HD1",
IF($B26="Huang Huanrao, Yoyo",IF(MOD(H$13,2)=1,"HD2",IFERROR(IF(SUMPRODUCT(($B$3:$AG$3=H$16)*($B$5:$AG$7=VLOOKUP($B26,'On call stat'!$S$3:$T$10,2,FALSE)))&gt;0,"D","DO"),"DO")),
IF($B26="Lee Ka Po, Kathy",IF(MOD(H$13,2)=0,"HD2",IFERROR(IF(SUMPRODUCT(($B$3:$AG$3=H$16)*($B$5:$AG$7=VLOOKUP($B26,'On call stat'!$S$3:$T$10,2,FALSE)))&gt;0,"D","DO"),"DO")),
IF($B26="Fan Hoi Wan, Ivy",IF(MOD(H$13,2)=0,"D",IFERROR(IF(SUMPRODUCT(($B$3:$AG$3=H$16)*($B$5:$AG$7=VLOOKUP($B26,'On call stat'!$S$3:$T$10,2,FALSE)))&gt;0,"D","DO"),"DO")),
IFERROR(IF(SUMPRODUCT(($B$3:$AG$3=H$16)*($B$5:$AG$7=VLOOKUP($B26,'On call stat'!$S$3:$T$10,2,FALSE)))&gt;0,"D","DO"),"DO"))))))),
IF($B26="Huang Huanrao, Yoyo",IF(MOD(H$13,2)=1,"D1","B6"),
IF($B26="Lee Ka Po, Kathy",IF(MOD(H$13,2)=0,"D1","B6"),
IFERROR(IF(SUMPRODUCT(($B$3:$AG$3=H$16)*($B$5:$AG$7=VLOOKUP($B26,'On call stat'!$S$3:$T$10,2,FALSE)))&gt;0,"E","D"),"D"))))))))</f>
        <v>DO</v>
      </c>
      <c r="I26" s="40" t="str">
        <f>IF(COUNTIF(PH!$A:$A,I$16)&gt;0,"PH",
IF(AND(SUMPRODUCT(($B$9:$AG$10=IFERROR(VLOOKUP($B26,'On call stat'!$S$3:$T$20,2,FALSE),""))*($B$3:$AG$3=I$16))&gt;0,OR(WEEKDAY(I$16,2)=6,),OR($B26="Chan, Man Wai",$B26="Ng Suet Ping, Yoko",$B26="Li Mui Ying",$B26="Lee Ka Po, Kathy",$B26="Huang Huanrao, Yoyo")),"HDAL",
IF(OR(WEEKDAY(I$16,2)=7,AND(WEEKDAY(I$16,2)=6,SUMPRODUCT(($B$9:$AG$10=IFERROR(VLOOKUP($B26,'On call stat'!$S$3:$T$20,2,FALSE),""))*($B$3:$AG$3=I$16))&gt;0)),"DO",
IF(SUMPRODUCT(($B$9:$AG$10=IFERROR(VLOOKUP($B26,'On call stat'!$S$3:$T$20,2,FALSE),""))*($B$3:$AG$3=I$16))&gt;0,"AL",
IF(WEEKDAY(I$16,2)=6,
IF($B26="Chan, Man Wai","HD",
IF($B26="Ng Suet Ping, Yoko","HD",
IF($B26="Li Mui Ying","HD1",
IF($B26="Huang Huanrao, Yoyo",IF(MOD(I$13,2)=1,"HD2",IFERROR(IF(SUMPRODUCT(($B$3:$AG$3=I$16)*($B$5:$AG$7=VLOOKUP($B26,'On call stat'!$S$3:$T$10,2,FALSE)))&gt;0,"D","DO"),"DO")),
IF($B26="Lee Ka Po, Kathy",IF(MOD(I$13,2)=0,"HD2",IFERROR(IF(SUMPRODUCT(($B$3:$AG$3=I$16)*($B$5:$AG$7=VLOOKUP($B26,'On call stat'!$S$3:$T$10,2,FALSE)))&gt;0,"D","DO"),"DO")),
IF($B26="Fan Hoi Wan, Ivy",IF(MOD(I$13,2)=0,"D",IFERROR(IF(SUMPRODUCT(($B$3:$AG$3=I$16)*($B$5:$AG$7=VLOOKUP($B26,'On call stat'!$S$3:$T$10,2,FALSE)))&gt;0,"D","DO"),"DO")),
IFERROR(IF(SUMPRODUCT(($B$3:$AG$3=I$16)*($B$5:$AG$7=VLOOKUP($B26,'On call stat'!$S$3:$T$10,2,FALSE)))&gt;0,"D","DO"),"DO"))))))),
IF($B26="Huang Huanrao, Yoyo",IF(MOD(I$13,2)=1,"D1","B6"),
IF($B26="Lee Ka Po, Kathy",IF(MOD(I$13,2)=0,"D1","B6"),
IFERROR(IF(SUMPRODUCT(($B$3:$AG$3=I$16)*($B$5:$AG$7=VLOOKUP($B26,'On call stat'!$S$3:$T$10,2,FALSE)))&gt;0,"E","D"),"D"))))))))</f>
        <v>D</v>
      </c>
      <c r="J26" s="40" t="str">
        <f>IF(COUNTIF(PH!$A:$A,J$16)&gt;0,"PH",
IF(AND(SUMPRODUCT(($B$9:$AG$10=IFERROR(VLOOKUP($B26,'On call stat'!$S$3:$T$20,2,FALSE),""))*($B$3:$AG$3=J$16))&gt;0,OR(WEEKDAY(J$16,2)=6,),OR($B26="Chan, Man Wai",$B26="Ng Suet Ping, Yoko",$B26="Li Mui Ying",$B26="Lee Ka Po, Kathy",$B26="Huang Huanrao, Yoyo")),"HDAL",
IF(OR(WEEKDAY(J$16,2)=7,AND(WEEKDAY(J$16,2)=6,SUMPRODUCT(($B$9:$AG$10=IFERROR(VLOOKUP($B26,'On call stat'!$S$3:$T$20,2,FALSE),""))*($B$3:$AG$3=J$16))&gt;0)),"DO",
IF(SUMPRODUCT(($B$9:$AG$10=IFERROR(VLOOKUP($B26,'On call stat'!$S$3:$T$20,2,FALSE),""))*($B$3:$AG$3=J$16))&gt;0,"AL",
IF(WEEKDAY(J$16,2)=6,
IF($B26="Chan, Man Wai","HD",
IF($B26="Ng Suet Ping, Yoko","HD",
IF($B26="Li Mui Ying","HD1",
IF($B26="Huang Huanrao, Yoyo",IF(MOD(J$13,2)=1,"HD2",IFERROR(IF(SUMPRODUCT(($B$3:$AG$3=J$16)*($B$5:$AG$7=VLOOKUP($B26,'On call stat'!$S$3:$T$10,2,FALSE)))&gt;0,"D","DO"),"DO")),
IF($B26="Lee Ka Po, Kathy",IF(MOD(J$13,2)=0,"HD2",IFERROR(IF(SUMPRODUCT(($B$3:$AG$3=J$16)*($B$5:$AG$7=VLOOKUP($B26,'On call stat'!$S$3:$T$10,2,FALSE)))&gt;0,"D","DO"),"DO")),
IF($B26="Fan Hoi Wan, Ivy",IF(MOD(J$13,2)=0,"D",IFERROR(IF(SUMPRODUCT(($B$3:$AG$3=J$16)*($B$5:$AG$7=VLOOKUP($B26,'On call stat'!$S$3:$T$10,2,FALSE)))&gt;0,"D","DO"),"DO")),
IFERROR(IF(SUMPRODUCT(($B$3:$AG$3=J$16)*($B$5:$AG$7=VLOOKUP($B26,'On call stat'!$S$3:$T$10,2,FALSE)))&gt;0,"D","DO"),"DO"))))))),
IF($B26="Huang Huanrao, Yoyo",IF(MOD(J$13,2)=1,"D1","B6"),
IF($B26="Lee Ka Po, Kathy",IF(MOD(J$13,2)=0,"D1","B6"),
IFERROR(IF(SUMPRODUCT(($B$3:$AG$3=J$16)*($B$5:$AG$7=VLOOKUP($B26,'On call stat'!$S$3:$T$10,2,FALSE)))&gt;0,"E","D"),"D"))))))))</f>
        <v>D</v>
      </c>
      <c r="K26" s="40" t="str">
        <f>IF(COUNTIF(PH!$A:$A,K$16)&gt;0,"PH",
IF(AND(SUMPRODUCT(($B$9:$AG$10=IFERROR(VLOOKUP($B26,'On call stat'!$S$3:$T$20,2,FALSE),""))*($B$3:$AG$3=K$16))&gt;0,OR(WEEKDAY(K$16,2)=6,),OR($B26="Chan, Man Wai",$B26="Ng Suet Ping, Yoko",$B26="Li Mui Ying",$B26="Lee Ka Po, Kathy",$B26="Huang Huanrao, Yoyo")),"HDAL",
IF(OR(WEEKDAY(K$16,2)=7,AND(WEEKDAY(K$16,2)=6,SUMPRODUCT(($B$9:$AG$10=IFERROR(VLOOKUP($B26,'On call stat'!$S$3:$T$20,2,FALSE),""))*($B$3:$AG$3=K$16))&gt;0)),"DO",
IF(SUMPRODUCT(($B$9:$AG$10=IFERROR(VLOOKUP($B26,'On call stat'!$S$3:$T$20,2,FALSE),""))*($B$3:$AG$3=K$16))&gt;0,"AL",
IF(WEEKDAY(K$16,2)=6,
IF($B26="Chan, Man Wai","HD",
IF($B26="Ng Suet Ping, Yoko","HD",
IF($B26="Li Mui Ying","HD1",
IF($B26="Huang Huanrao, Yoyo",IF(MOD(K$13,2)=1,"HD2",IFERROR(IF(SUMPRODUCT(($B$3:$AG$3=K$16)*($B$5:$AG$7=VLOOKUP($B26,'On call stat'!$S$3:$T$10,2,FALSE)))&gt;0,"D","DO"),"DO")),
IF($B26="Lee Ka Po, Kathy",IF(MOD(K$13,2)=0,"HD2",IFERROR(IF(SUMPRODUCT(($B$3:$AG$3=K$16)*($B$5:$AG$7=VLOOKUP($B26,'On call stat'!$S$3:$T$10,2,FALSE)))&gt;0,"D","DO"),"DO")),
IF($B26="Fan Hoi Wan, Ivy",IF(MOD(K$13,2)=0,"D",IFERROR(IF(SUMPRODUCT(($B$3:$AG$3=K$16)*($B$5:$AG$7=VLOOKUP($B26,'On call stat'!$S$3:$T$10,2,FALSE)))&gt;0,"D","DO"),"DO")),
IFERROR(IF(SUMPRODUCT(($B$3:$AG$3=K$16)*($B$5:$AG$7=VLOOKUP($B26,'On call stat'!$S$3:$T$10,2,FALSE)))&gt;0,"D","DO"),"DO"))))))),
IF($B26="Huang Huanrao, Yoyo",IF(MOD(K$13,2)=1,"D1","B6"),
IF($B26="Lee Ka Po, Kathy",IF(MOD(K$13,2)=0,"D1","B6"),
IFERROR(IF(SUMPRODUCT(($B$3:$AG$3=K$16)*($B$5:$AG$7=VLOOKUP($B26,'On call stat'!$S$3:$T$10,2,FALSE)))&gt;0,"E","D"),"D"))))))))</f>
        <v>D</v>
      </c>
      <c r="L26" s="40" t="str">
        <f>IF(COUNTIF(PH!$A:$A,L$16)&gt;0,"PH",
IF(AND(SUMPRODUCT(($B$9:$AG$10=IFERROR(VLOOKUP($B26,'On call stat'!$S$3:$T$20,2,FALSE),""))*($B$3:$AG$3=L$16))&gt;0,OR(WEEKDAY(L$16,2)=6,),OR($B26="Chan, Man Wai",$B26="Ng Suet Ping, Yoko",$B26="Li Mui Ying",$B26="Lee Ka Po, Kathy",$B26="Huang Huanrao, Yoyo")),"HDAL",
IF(OR(WEEKDAY(L$16,2)=7,AND(WEEKDAY(L$16,2)=6,SUMPRODUCT(($B$9:$AG$10=IFERROR(VLOOKUP($B26,'On call stat'!$S$3:$T$20,2,FALSE),""))*($B$3:$AG$3=L$16))&gt;0)),"DO",
IF(SUMPRODUCT(($B$9:$AG$10=IFERROR(VLOOKUP($B26,'On call stat'!$S$3:$T$20,2,FALSE),""))*($B$3:$AG$3=L$16))&gt;0,"AL",
IF(WEEKDAY(L$16,2)=6,
IF($B26="Chan, Man Wai","HD",
IF($B26="Ng Suet Ping, Yoko","HD",
IF($B26="Li Mui Ying","HD1",
IF($B26="Huang Huanrao, Yoyo",IF(MOD(L$13,2)=1,"HD2",IFERROR(IF(SUMPRODUCT(($B$3:$AG$3=L$16)*($B$5:$AG$7=VLOOKUP($B26,'On call stat'!$S$3:$T$10,2,FALSE)))&gt;0,"D","DO"),"DO")),
IF($B26="Lee Ka Po, Kathy",IF(MOD(L$13,2)=0,"HD2",IFERROR(IF(SUMPRODUCT(($B$3:$AG$3=L$16)*($B$5:$AG$7=VLOOKUP($B26,'On call stat'!$S$3:$T$10,2,FALSE)))&gt;0,"D","DO"),"DO")),
IF($B26="Fan Hoi Wan, Ivy",IF(MOD(L$13,2)=0,"D",IFERROR(IF(SUMPRODUCT(($B$3:$AG$3=L$16)*($B$5:$AG$7=VLOOKUP($B26,'On call stat'!$S$3:$T$10,2,FALSE)))&gt;0,"D","DO"),"DO")),
IFERROR(IF(SUMPRODUCT(($B$3:$AG$3=L$16)*($B$5:$AG$7=VLOOKUP($B26,'On call stat'!$S$3:$T$10,2,FALSE)))&gt;0,"D","DO"),"DO"))))))),
IF($B26="Huang Huanrao, Yoyo",IF(MOD(L$13,2)=1,"D1","B6"),
IF($B26="Lee Ka Po, Kathy",IF(MOD(L$13,2)=0,"D1","B6"),
IFERROR(IF(SUMPRODUCT(($B$3:$AG$3=L$16)*($B$5:$AG$7=VLOOKUP($B26,'On call stat'!$S$3:$T$10,2,FALSE)))&gt;0,"E","D"),"D"))))))))</f>
        <v>D</v>
      </c>
      <c r="M26" s="40" t="str">
        <f>IF(COUNTIF(PH!$A:$A,M$16)&gt;0,"PH",
IF(AND(SUMPRODUCT(($B$9:$AG$10=IFERROR(VLOOKUP($B26,'On call stat'!$S$3:$T$20,2,FALSE),""))*($B$3:$AG$3=M$16))&gt;0,OR(WEEKDAY(M$16,2)=6,),OR($B26="Chan, Man Wai",$B26="Ng Suet Ping, Yoko",$B26="Li Mui Ying",$B26="Lee Ka Po, Kathy",$B26="Huang Huanrao, Yoyo")),"HDAL",
IF(OR(WEEKDAY(M$16,2)=7,AND(WEEKDAY(M$16,2)=6,SUMPRODUCT(($B$9:$AG$10=IFERROR(VLOOKUP($B26,'On call stat'!$S$3:$T$20,2,FALSE),""))*($B$3:$AG$3=M$16))&gt;0)),"DO",
IF(SUMPRODUCT(($B$9:$AG$10=IFERROR(VLOOKUP($B26,'On call stat'!$S$3:$T$20,2,FALSE),""))*($B$3:$AG$3=M$16))&gt;0,"AL",
IF(WEEKDAY(M$16,2)=6,
IF($B26="Chan, Man Wai","HD",
IF($B26="Ng Suet Ping, Yoko","HD",
IF($B26="Li Mui Ying","HD1",
IF($B26="Huang Huanrao, Yoyo",IF(MOD(M$13,2)=1,"HD2",IFERROR(IF(SUMPRODUCT(($B$3:$AG$3=M$16)*($B$5:$AG$7=VLOOKUP($B26,'On call stat'!$S$3:$T$10,2,FALSE)))&gt;0,"D","DO"),"DO")),
IF($B26="Lee Ka Po, Kathy",IF(MOD(M$13,2)=0,"HD2",IFERROR(IF(SUMPRODUCT(($B$3:$AG$3=M$16)*($B$5:$AG$7=VLOOKUP($B26,'On call stat'!$S$3:$T$10,2,FALSE)))&gt;0,"D","DO"),"DO")),
IF($B26="Fan Hoi Wan, Ivy",IF(MOD(M$13,2)=0,"D",IFERROR(IF(SUMPRODUCT(($B$3:$AG$3=M$16)*($B$5:$AG$7=VLOOKUP($B26,'On call stat'!$S$3:$T$10,2,FALSE)))&gt;0,"D","DO"),"DO")),
IFERROR(IF(SUMPRODUCT(($B$3:$AG$3=M$16)*($B$5:$AG$7=VLOOKUP($B26,'On call stat'!$S$3:$T$10,2,FALSE)))&gt;0,"D","DO"),"DO"))))))),
IF($B26="Huang Huanrao, Yoyo",IF(MOD(M$13,2)=1,"D1","B6"),
IF($B26="Lee Ka Po, Kathy",IF(MOD(M$13,2)=0,"D1","B6"),
IFERROR(IF(SUMPRODUCT(($B$3:$AG$3=M$16)*($B$5:$AG$7=VLOOKUP($B26,'On call stat'!$S$3:$T$10,2,FALSE)))&gt;0,"E","D"),"D"))))))))</f>
        <v>D</v>
      </c>
      <c r="N26" s="40" t="str">
        <f>IF(COUNTIF(PH!$A:$A,N$16)&gt;0,"PH",
IF(AND(SUMPRODUCT(($B$9:$AG$10=IFERROR(VLOOKUP($B26,'On call stat'!$S$3:$T$20,2,FALSE),""))*($B$3:$AG$3=N$16))&gt;0,OR(WEEKDAY(N$16,2)=6,),OR($B26="Chan, Man Wai",$B26="Ng Suet Ping, Yoko",$B26="Li Mui Ying",$B26="Lee Ka Po, Kathy",$B26="Huang Huanrao, Yoyo")),"HDAL",
IF(OR(WEEKDAY(N$16,2)=7,AND(WEEKDAY(N$16,2)=6,SUMPRODUCT(($B$9:$AG$10=IFERROR(VLOOKUP($B26,'On call stat'!$S$3:$T$20,2,FALSE),""))*($B$3:$AG$3=N$16))&gt;0)),"DO",
IF(SUMPRODUCT(($B$9:$AG$10=IFERROR(VLOOKUP($B26,'On call stat'!$S$3:$T$20,2,FALSE),""))*($B$3:$AG$3=N$16))&gt;0,"AL",
IF(WEEKDAY(N$16,2)=6,
IF($B26="Chan, Man Wai","HD",
IF($B26="Ng Suet Ping, Yoko","HD",
IF($B26="Li Mui Ying","HD1",
IF($B26="Huang Huanrao, Yoyo",IF(MOD(N$13,2)=1,"HD2",IFERROR(IF(SUMPRODUCT(($B$3:$AG$3=N$16)*($B$5:$AG$7=VLOOKUP($B26,'On call stat'!$S$3:$T$10,2,FALSE)))&gt;0,"D","DO"),"DO")),
IF($B26="Lee Ka Po, Kathy",IF(MOD(N$13,2)=0,"HD2",IFERROR(IF(SUMPRODUCT(($B$3:$AG$3=N$16)*($B$5:$AG$7=VLOOKUP($B26,'On call stat'!$S$3:$T$10,2,FALSE)))&gt;0,"D","DO"),"DO")),
IF($B26="Fan Hoi Wan, Ivy",IF(MOD(N$13,2)=0,"D",IFERROR(IF(SUMPRODUCT(($B$3:$AG$3=N$16)*($B$5:$AG$7=VLOOKUP($B26,'On call stat'!$S$3:$T$10,2,FALSE)))&gt;0,"D","DO"),"DO")),
IFERROR(IF(SUMPRODUCT(($B$3:$AG$3=N$16)*($B$5:$AG$7=VLOOKUP($B26,'On call stat'!$S$3:$T$10,2,FALSE)))&gt;0,"D","DO"),"DO"))))))),
IF($B26="Huang Huanrao, Yoyo",IF(MOD(N$13,2)=1,"D1","B6"),
IF($B26="Lee Ka Po, Kathy",IF(MOD(N$13,2)=0,"D1","B6"),
IFERROR(IF(SUMPRODUCT(($B$3:$AG$3=N$16)*($B$5:$AG$7=VLOOKUP($B26,'On call stat'!$S$3:$T$10,2,FALSE)))&gt;0,"E","D"),"D"))))))))</f>
        <v>DO</v>
      </c>
      <c r="O26" s="40" t="str">
        <f>IF(COUNTIF(PH!$A:$A,O$16)&gt;0,"PH",
IF(AND(SUMPRODUCT(($B$9:$AG$10=IFERROR(VLOOKUP($B26,'On call stat'!$S$3:$T$20,2,FALSE),""))*($B$3:$AG$3=O$16))&gt;0,OR(WEEKDAY(O$16,2)=6,),OR($B26="Chan, Man Wai",$B26="Ng Suet Ping, Yoko",$B26="Li Mui Ying",$B26="Lee Ka Po, Kathy",$B26="Huang Huanrao, Yoyo")),"HDAL",
IF(OR(WEEKDAY(O$16,2)=7,AND(WEEKDAY(O$16,2)=6,SUMPRODUCT(($B$9:$AG$10=IFERROR(VLOOKUP($B26,'On call stat'!$S$3:$T$20,2,FALSE),""))*($B$3:$AG$3=O$16))&gt;0)),"DO",
IF(SUMPRODUCT(($B$9:$AG$10=IFERROR(VLOOKUP($B26,'On call stat'!$S$3:$T$20,2,FALSE),""))*($B$3:$AG$3=O$16))&gt;0,"AL",
IF(WEEKDAY(O$16,2)=6,
IF($B26="Chan, Man Wai","HD",
IF($B26="Ng Suet Ping, Yoko","HD",
IF($B26="Li Mui Ying","HD1",
IF($B26="Huang Huanrao, Yoyo",IF(MOD(O$13,2)=1,"HD2",IFERROR(IF(SUMPRODUCT(($B$3:$AG$3=O$16)*($B$5:$AG$7=VLOOKUP($B26,'On call stat'!$S$3:$T$10,2,FALSE)))&gt;0,"D","DO"),"DO")),
IF($B26="Lee Ka Po, Kathy",IF(MOD(O$13,2)=0,"HD2",IFERROR(IF(SUMPRODUCT(($B$3:$AG$3=O$16)*($B$5:$AG$7=VLOOKUP($B26,'On call stat'!$S$3:$T$10,2,FALSE)))&gt;0,"D","DO"),"DO")),
IF($B26="Fan Hoi Wan, Ivy",IF(MOD(O$13,2)=0,"D",IFERROR(IF(SUMPRODUCT(($B$3:$AG$3=O$16)*($B$5:$AG$7=VLOOKUP($B26,'On call stat'!$S$3:$T$10,2,FALSE)))&gt;0,"D","DO"),"DO")),
IFERROR(IF(SUMPRODUCT(($B$3:$AG$3=O$16)*($B$5:$AG$7=VLOOKUP($B26,'On call stat'!$S$3:$T$10,2,FALSE)))&gt;0,"D","DO"),"DO"))))))),
IF($B26="Huang Huanrao, Yoyo",IF(MOD(O$13,2)=1,"D1","B6"),
IF($B26="Lee Ka Po, Kathy",IF(MOD(O$13,2)=0,"D1","B6"),
IFERROR(IF(SUMPRODUCT(($B$3:$AG$3=O$16)*($B$5:$AG$7=VLOOKUP($B26,'On call stat'!$S$3:$T$10,2,FALSE)))&gt;0,"E","D"),"D"))))))))</f>
        <v>DO</v>
      </c>
      <c r="P26" s="40" t="str">
        <f>IF(COUNTIF(PH!$A:$A,P$16)&gt;0,"PH",
IF(AND(SUMPRODUCT(($B$9:$AG$10=IFERROR(VLOOKUP($B26,'On call stat'!$S$3:$T$20,2,FALSE),""))*($B$3:$AG$3=P$16))&gt;0,OR(WEEKDAY(P$16,2)=6,),OR($B26="Chan, Man Wai",$B26="Ng Suet Ping, Yoko",$B26="Li Mui Ying",$B26="Lee Ka Po, Kathy",$B26="Huang Huanrao, Yoyo")),"HDAL",
IF(OR(WEEKDAY(P$16,2)=7,AND(WEEKDAY(P$16,2)=6,SUMPRODUCT(($B$9:$AG$10=IFERROR(VLOOKUP($B26,'On call stat'!$S$3:$T$20,2,FALSE),""))*($B$3:$AG$3=P$16))&gt;0)),"DO",
IF(SUMPRODUCT(($B$9:$AG$10=IFERROR(VLOOKUP($B26,'On call stat'!$S$3:$T$20,2,FALSE),""))*($B$3:$AG$3=P$16))&gt;0,"AL",
IF(WEEKDAY(P$16,2)=6,
IF($B26="Chan, Man Wai","HD",
IF($B26="Ng Suet Ping, Yoko","HD",
IF($B26="Li Mui Ying","HD1",
IF($B26="Huang Huanrao, Yoyo",IF(MOD(P$13,2)=1,"HD2",IFERROR(IF(SUMPRODUCT(($B$3:$AG$3=P$16)*($B$5:$AG$7=VLOOKUP($B26,'On call stat'!$S$3:$T$10,2,FALSE)))&gt;0,"D","DO"),"DO")),
IF($B26="Lee Ka Po, Kathy",IF(MOD(P$13,2)=0,"HD2",IFERROR(IF(SUMPRODUCT(($B$3:$AG$3=P$16)*($B$5:$AG$7=VLOOKUP($B26,'On call stat'!$S$3:$T$10,2,FALSE)))&gt;0,"D","DO"),"DO")),
IF($B26="Fan Hoi Wan, Ivy",IF(MOD(P$13,2)=0,"D",IFERROR(IF(SUMPRODUCT(($B$3:$AG$3=P$16)*($B$5:$AG$7=VLOOKUP($B26,'On call stat'!$S$3:$T$10,2,FALSE)))&gt;0,"D","DO"),"DO")),
IFERROR(IF(SUMPRODUCT(($B$3:$AG$3=P$16)*($B$5:$AG$7=VLOOKUP($B26,'On call stat'!$S$3:$T$10,2,FALSE)))&gt;0,"D","DO"),"DO"))))))),
IF($B26="Huang Huanrao, Yoyo",IF(MOD(P$13,2)=1,"D1","B6"),
IF($B26="Lee Ka Po, Kathy",IF(MOD(P$13,2)=0,"D1","B6"),
IFERROR(IF(SUMPRODUCT(($B$3:$AG$3=P$16)*($B$5:$AG$7=VLOOKUP($B26,'On call stat'!$S$3:$T$10,2,FALSE)))&gt;0,"E","D"),"D"))))))))</f>
        <v>D</v>
      </c>
      <c r="Q26" s="40" t="str">
        <f>IF(COUNTIF(PH!$A:$A,Q$16)&gt;0,"PH",
IF(AND(SUMPRODUCT(($B$9:$AG$10=IFERROR(VLOOKUP($B26,'On call stat'!$S$3:$T$20,2,FALSE),""))*($B$3:$AG$3=Q$16))&gt;0,OR(WEEKDAY(Q$16,2)=6,),OR($B26="Chan, Man Wai",$B26="Ng Suet Ping, Yoko",$B26="Li Mui Ying",$B26="Lee Ka Po, Kathy",$B26="Huang Huanrao, Yoyo")),"HDAL",
IF(OR(WEEKDAY(Q$16,2)=7,AND(WEEKDAY(Q$16,2)=6,SUMPRODUCT(($B$9:$AG$10=IFERROR(VLOOKUP($B26,'On call stat'!$S$3:$T$20,2,FALSE),""))*($B$3:$AG$3=Q$16))&gt;0)),"DO",
IF(SUMPRODUCT(($B$9:$AG$10=IFERROR(VLOOKUP($B26,'On call stat'!$S$3:$T$20,2,FALSE),""))*($B$3:$AG$3=Q$16))&gt;0,"AL",
IF(WEEKDAY(Q$16,2)=6,
IF($B26="Chan, Man Wai","HD",
IF($B26="Ng Suet Ping, Yoko","HD",
IF($B26="Li Mui Ying","HD1",
IF($B26="Huang Huanrao, Yoyo",IF(MOD(Q$13,2)=1,"HD2",IFERROR(IF(SUMPRODUCT(($B$3:$AG$3=Q$16)*($B$5:$AG$7=VLOOKUP($B26,'On call stat'!$S$3:$T$10,2,FALSE)))&gt;0,"D","DO"),"DO")),
IF($B26="Lee Ka Po, Kathy",IF(MOD(Q$13,2)=0,"HD2",IFERROR(IF(SUMPRODUCT(($B$3:$AG$3=Q$16)*($B$5:$AG$7=VLOOKUP($B26,'On call stat'!$S$3:$T$10,2,FALSE)))&gt;0,"D","DO"),"DO")),
IF($B26="Fan Hoi Wan, Ivy",IF(MOD(Q$13,2)=0,"D",IFERROR(IF(SUMPRODUCT(($B$3:$AG$3=Q$16)*($B$5:$AG$7=VLOOKUP($B26,'On call stat'!$S$3:$T$10,2,FALSE)))&gt;0,"D","DO"),"DO")),
IFERROR(IF(SUMPRODUCT(($B$3:$AG$3=Q$16)*($B$5:$AG$7=VLOOKUP($B26,'On call stat'!$S$3:$T$10,2,FALSE)))&gt;0,"D","DO"),"DO"))))))),
IF($B26="Huang Huanrao, Yoyo",IF(MOD(Q$13,2)=1,"D1","B6"),
IF($B26="Lee Ka Po, Kathy",IF(MOD(Q$13,2)=0,"D1","B6"),
IFERROR(IF(SUMPRODUCT(($B$3:$AG$3=Q$16)*($B$5:$AG$7=VLOOKUP($B26,'On call stat'!$S$3:$T$10,2,FALSE)))&gt;0,"E","D"),"D"))))))))</f>
        <v>D</v>
      </c>
      <c r="R26" s="40" t="str">
        <f>IF(COUNTIF(PH!$A:$A,R$16)&gt;0,"PH",
IF(AND(SUMPRODUCT(($B$9:$AG$10=IFERROR(VLOOKUP($B26,'On call stat'!$S$3:$T$20,2,FALSE),""))*($B$3:$AG$3=R$16))&gt;0,OR(WEEKDAY(R$16,2)=6,),OR($B26="Chan, Man Wai",$B26="Ng Suet Ping, Yoko",$B26="Li Mui Ying",$B26="Lee Ka Po, Kathy",$B26="Huang Huanrao, Yoyo")),"HDAL",
IF(OR(WEEKDAY(R$16,2)=7,AND(WEEKDAY(R$16,2)=6,SUMPRODUCT(($B$9:$AG$10=IFERROR(VLOOKUP($B26,'On call stat'!$S$3:$T$20,2,FALSE),""))*($B$3:$AG$3=R$16))&gt;0)),"DO",
IF(SUMPRODUCT(($B$9:$AG$10=IFERROR(VLOOKUP($B26,'On call stat'!$S$3:$T$20,2,FALSE),""))*($B$3:$AG$3=R$16))&gt;0,"AL",
IF(WEEKDAY(R$16,2)=6,
IF($B26="Chan, Man Wai","HD",
IF($B26="Ng Suet Ping, Yoko","HD",
IF($B26="Li Mui Ying","HD1",
IF($B26="Huang Huanrao, Yoyo",IF(MOD(R$13,2)=1,"HD2",IFERROR(IF(SUMPRODUCT(($B$3:$AG$3=R$16)*($B$5:$AG$7=VLOOKUP($B26,'On call stat'!$S$3:$T$10,2,FALSE)))&gt;0,"D","DO"),"DO")),
IF($B26="Lee Ka Po, Kathy",IF(MOD(R$13,2)=0,"HD2",IFERROR(IF(SUMPRODUCT(($B$3:$AG$3=R$16)*($B$5:$AG$7=VLOOKUP($B26,'On call stat'!$S$3:$T$10,2,FALSE)))&gt;0,"D","DO"),"DO")),
IF($B26="Fan Hoi Wan, Ivy",IF(MOD(R$13,2)=0,"D",IFERROR(IF(SUMPRODUCT(($B$3:$AG$3=R$16)*($B$5:$AG$7=VLOOKUP($B26,'On call stat'!$S$3:$T$10,2,FALSE)))&gt;0,"D","DO"),"DO")),
IFERROR(IF(SUMPRODUCT(($B$3:$AG$3=R$16)*($B$5:$AG$7=VLOOKUP($B26,'On call stat'!$S$3:$T$10,2,FALSE)))&gt;0,"D","DO"),"DO"))))))),
IF($B26="Huang Huanrao, Yoyo",IF(MOD(R$13,2)=1,"D1","B6"),
IF($B26="Lee Ka Po, Kathy",IF(MOD(R$13,2)=0,"D1","B6"),
IFERROR(IF(SUMPRODUCT(($B$3:$AG$3=R$16)*($B$5:$AG$7=VLOOKUP($B26,'On call stat'!$S$3:$T$10,2,FALSE)))&gt;0,"E","D"),"D"))))))))</f>
        <v>D</v>
      </c>
      <c r="S26" s="40" t="str">
        <f>IF(COUNTIF(PH!$A:$A,S$16)&gt;0,"PH",
IF(AND(SUMPRODUCT(($B$9:$AG$10=IFERROR(VLOOKUP($B26,'On call stat'!$S$3:$T$20,2,FALSE),""))*($B$3:$AG$3=S$16))&gt;0,OR(WEEKDAY(S$16,2)=6,),OR($B26="Chan, Man Wai",$B26="Ng Suet Ping, Yoko",$B26="Li Mui Ying",$B26="Lee Ka Po, Kathy",$B26="Huang Huanrao, Yoyo")),"HDAL",
IF(OR(WEEKDAY(S$16,2)=7,AND(WEEKDAY(S$16,2)=6,SUMPRODUCT(($B$9:$AG$10=IFERROR(VLOOKUP($B26,'On call stat'!$S$3:$T$20,2,FALSE),""))*($B$3:$AG$3=S$16))&gt;0)),"DO",
IF(SUMPRODUCT(($B$9:$AG$10=IFERROR(VLOOKUP($B26,'On call stat'!$S$3:$T$20,2,FALSE),""))*($B$3:$AG$3=S$16))&gt;0,"AL",
IF(WEEKDAY(S$16,2)=6,
IF($B26="Chan, Man Wai","HD",
IF($B26="Ng Suet Ping, Yoko","HD",
IF($B26="Li Mui Ying","HD1",
IF($B26="Huang Huanrao, Yoyo",IF(MOD(S$13,2)=1,"HD2",IFERROR(IF(SUMPRODUCT(($B$3:$AG$3=S$16)*($B$5:$AG$7=VLOOKUP($B26,'On call stat'!$S$3:$T$10,2,FALSE)))&gt;0,"D","DO"),"DO")),
IF($B26="Lee Ka Po, Kathy",IF(MOD(S$13,2)=0,"HD2",IFERROR(IF(SUMPRODUCT(($B$3:$AG$3=S$16)*($B$5:$AG$7=VLOOKUP($B26,'On call stat'!$S$3:$T$10,2,FALSE)))&gt;0,"D","DO"),"DO")),
IF($B26="Fan Hoi Wan, Ivy",IF(MOD(S$13,2)=0,"D",IFERROR(IF(SUMPRODUCT(($B$3:$AG$3=S$16)*($B$5:$AG$7=VLOOKUP($B26,'On call stat'!$S$3:$T$10,2,FALSE)))&gt;0,"D","DO"),"DO")),
IFERROR(IF(SUMPRODUCT(($B$3:$AG$3=S$16)*($B$5:$AG$7=VLOOKUP($B26,'On call stat'!$S$3:$T$10,2,FALSE)))&gt;0,"D","DO"),"DO"))))))),
IF($B26="Huang Huanrao, Yoyo",IF(MOD(S$13,2)=1,"D1","B6"),
IF($B26="Lee Ka Po, Kathy",IF(MOD(S$13,2)=0,"D1","B6"),
IFERROR(IF(SUMPRODUCT(($B$3:$AG$3=S$16)*($B$5:$AG$7=VLOOKUP($B26,'On call stat'!$S$3:$T$10,2,FALSE)))&gt;0,"E","D"),"D"))))))))</f>
        <v>D</v>
      </c>
      <c r="T26" s="40" t="str">
        <f>IF(COUNTIF(PH!$A:$A,T$16)&gt;0,"PH",
IF(AND(SUMPRODUCT(($B$9:$AG$10=IFERROR(VLOOKUP($B26,'On call stat'!$S$3:$T$20,2,FALSE),""))*($B$3:$AG$3=T$16))&gt;0,OR(WEEKDAY(T$16,2)=6,),OR($B26="Chan, Man Wai",$B26="Ng Suet Ping, Yoko",$B26="Li Mui Ying",$B26="Lee Ka Po, Kathy",$B26="Huang Huanrao, Yoyo")),"HDAL",
IF(OR(WEEKDAY(T$16,2)=7,AND(WEEKDAY(T$16,2)=6,SUMPRODUCT(($B$9:$AG$10=IFERROR(VLOOKUP($B26,'On call stat'!$S$3:$T$20,2,FALSE),""))*($B$3:$AG$3=T$16))&gt;0)),"DO",
IF(SUMPRODUCT(($B$9:$AG$10=IFERROR(VLOOKUP($B26,'On call stat'!$S$3:$T$20,2,FALSE),""))*($B$3:$AG$3=T$16))&gt;0,"AL",
IF(WEEKDAY(T$16,2)=6,
IF($B26="Chan, Man Wai","HD",
IF($B26="Ng Suet Ping, Yoko","HD",
IF($B26="Li Mui Ying","HD1",
IF($B26="Huang Huanrao, Yoyo",IF(MOD(T$13,2)=1,"HD2",IFERROR(IF(SUMPRODUCT(($B$3:$AG$3=T$16)*($B$5:$AG$7=VLOOKUP($B26,'On call stat'!$S$3:$T$10,2,FALSE)))&gt;0,"D","DO"),"DO")),
IF($B26="Lee Ka Po, Kathy",IF(MOD(T$13,2)=0,"HD2",IFERROR(IF(SUMPRODUCT(($B$3:$AG$3=T$16)*($B$5:$AG$7=VLOOKUP($B26,'On call stat'!$S$3:$T$10,2,FALSE)))&gt;0,"D","DO"),"DO")),
IF($B26="Fan Hoi Wan, Ivy",IF(MOD(T$13,2)=0,"D",IFERROR(IF(SUMPRODUCT(($B$3:$AG$3=T$16)*($B$5:$AG$7=VLOOKUP($B26,'On call stat'!$S$3:$T$10,2,FALSE)))&gt;0,"D","DO"),"DO")),
IFERROR(IF(SUMPRODUCT(($B$3:$AG$3=T$16)*($B$5:$AG$7=VLOOKUP($B26,'On call stat'!$S$3:$T$10,2,FALSE)))&gt;0,"D","DO"),"DO"))))))),
IF($B26="Huang Huanrao, Yoyo",IF(MOD(T$13,2)=1,"D1","B6"),
IF($B26="Lee Ka Po, Kathy",IF(MOD(T$13,2)=0,"D1","B6"),
IFERROR(IF(SUMPRODUCT(($B$3:$AG$3=T$16)*($B$5:$AG$7=VLOOKUP($B26,'On call stat'!$S$3:$T$10,2,FALSE)))&gt;0,"E","D"),"D"))))))))</f>
        <v>D</v>
      </c>
      <c r="U26" s="40" t="str">
        <f>IF(COUNTIF(PH!$A:$A,U$16)&gt;0,"PH",
IF(AND(SUMPRODUCT(($B$9:$AG$10=IFERROR(VLOOKUP($B26,'On call stat'!$S$3:$T$20,2,FALSE),""))*($B$3:$AG$3=U$16))&gt;0,OR(WEEKDAY(U$16,2)=6,),OR($B26="Chan, Man Wai",$B26="Ng Suet Ping, Yoko",$B26="Li Mui Ying",$B26="Lee Ka Po, Kathy",$B26="Huang Huanrao, Yoyo")),"HDAL",
IF(OR(WEEKDAY(U$16,2)=7,AND(WEEKDAY(U$16,2)=6,SUMPRODUCT(($B$9:$AG$10=IFERROR(VLOOKUP($B26,'On call stat'!$S$3:$T$20,2,FALSE),""))*($B$3:$AG$3=U$16))&gt;0)),"DO",
IF(SUMPRODUCT(($B$9:$AG$10=IFERROR(VLOOKUP($B26,'On call stat'!$S$3:$T$20,2,FALSE),""))*($B$3:$AG$3=U$16))&gt;0,"AL",
IF(WEEKDAY(U$16,2)=6,
IF($B26="Chan, Man Wai","HD",
IF($B26="Ng Suet Ping, Yoko","HD",
IF($B26="Li Mui Ying","HD1",
IF($B26="Huang Huanrao, Yoyo",IF(MOD(U$13,2)=1,"HD2",IFERROR(IF(SUMPRODUCT(($B$3:$AG$3=U$16)*($B$5:$AG$7=VLOOKUP($B26,'On call stat'!$S$3:$T$10,2,FALSE)))&gt;0,"D","DO"),"DO")),
IF($B26="Lee Ka Po, Kathy",IF(MOD(U$13,2)=0,"HD2",IFERROR(IF(SUMPRODUCT(($B$3:$AG$3=U$16)*($B$5:$AG$7=VLOOKUP($B26,'On call stat'!$S$3:$T$10,2,FALSE)))&gt;0,"D","DO"),"DO")),
IF($B26="Fan Hoi Wan, Ivy",IF(MOD(U$13,2)=0,"D",IFERROR(IF(SUMPRODUCT(($B$3:$AG$3=U$16)*($B$5:$AG$7=VLOOKUP($B26,'On call stat'!$S$3:$T$10,2,FALSE)))&gt;0,"D","DO"),"DO")),
IFERROR(IF(SUMPRODUCT(($B$3:$AG$3=U$16)*($B$5:$AG$7=VLOOKUP($B26,'On call stat'!$S$3:$T$10,2,FALSE)))&gt;0,"D","DO"),"DO"))))))),
IF($B26="Huang Huanrao, Yoyo",IF(MOD(U$13,2)=1,"D1","B6"),
IF($B26="Lee Ka Po, Kathy",IF(MOD(U$13,2)=0,"D1","B6"),
IFERROR(IF(SUMPRODUCT(($B$3:$AG$3=U$16)*($B$5:$AG$7=VLOOKUP($B26,'On call stat'!$S$3:$T$10,2,FALSE)))&gt;0,"E","D"),"D"))))))))</f>
        <v>DO</v>
      </c>
      <c r="V26" s="40" t="str">
        <f>IF(COUNTIF(PH!$A:$A,V$16)&gt;0,"PH",
IF(AND(SUMPRODUCT(($B$9:$AG$10=IFERROR(VLOOKUP($B26,'On call stat'!$S$3:$T$20,2,FALSE),""))*($B$3:$AG$3=V$16))&gt;0,OR(WEEKDAY(V$16,2)=6,),OR($B26="Chan, Man Wai",$B26="Ng Suet Ping, Yoko",$B26="Li Mui Ying",$B26="Lee Ka Po, Kathy",$B26="Huang Huanrao, Yoyo")),"HDAL",
IF(OR(WEEKDAY(V$16,2)=7,AND(WEEKDAY(V$16,2)=6,SUMPRODUCT(($B$9:$AG$10=IFERROR(VLOOKUP($B26,'On call stat'!$S$3:$T$20,2,FALSE),""))*($B$3:$AG$3=V$16))&gt;0)),"DO",
IF(SUMPRODUCT(($B$9:$AG$10=IFERROR(VLOOKUP($B26,'On call stat'!$S$3:$T$20,2,FALSE),""))*($B$3:$AG$3=V$16))&gt;0,"AL",
IF(WEEKDAY(V$16,2)=6,
IF($B26="Chan, Man Wai","HD",
IF($B26="Ng Suet Ping, Yoko","HD",
IF($B26="Li Mui Ying","HD1",
IF($B26="Huang Huanrao, Yoyo",IF(MOD(V$13,2)=1,"HD2",IFERROR(IF(SUMPRODUCT(($B$3:$AG$3=V$16)*($B$5:$AG$7=VLOOKUP($B26,'On call stat'!$S$3:$T$10,2,FALSE)))&gt;0,"D","DO"),"DO")),
IF($B26="Lee Ka Po, Kathy",IF(MOD(V$13,2)=0,"HD2",IFERROR(IF(SUMPRODUCT(($B$3:$AG$3=V$16)*($B$5:$AG$7=VLOOKUP($B26,'On call stat'!$S$3:$T$10,2,FALSE)))&gt;0,"D","DO"),"DO")),
IF($B26="Fan Hoi Wan, Ivy",IF(MOD(V$13,2)=0,"D",IFERROR(IF(SUMPRODUCT(($B$3:$AG$3=V$16)*($B$5:$AG$7=VLOOKUP($B26,'On call stat'!$S$3:$T$10,2,FALSE)))&gt;0,"D","DO"),"DO")),
IFERROR(IF(SUMPRODUCT(($B$3:$AG$3=V$16)*($B$5:$AG$7=VLOOKUP($B26,'On call stat'!$S$3:$T$10,2,FALSE)))&gt;0,"D","DO"),"DO"))))))),
IF($B26="Huang Huanrao, Yoyo",IF(MOD(V$13,2)=1,"D1","B6"),
IF($B26="Lee Ka Po, Kathy",IF(MOD(V$13,2)=0,"D1","B6"),
IFERROR(IF(SUMPRODUCT(($B$3:$AG$3=V$16)*($B$5:$AG$7=VLOOKUP($B26,'On call stat'!$S$3:$T$10,2,FALSE)))&gt;0,"E","D"),"D"))))))))</f>
        <v>DO</v>
      </c>
      <c r="W26" s="40" t="str">
        <f>IF(COUNTIF(PH!$A:$A,W$16)&gt;0,"PH",
IF(AND(SUMPRODUCT(($B$9:$AG$10=IFERROR(VLOOKUP($B26,'On call stat'!$S$3:$T$20,2,FALSE),""))*($B$3:$AG$3=W$16))&gt;0,OR(WEEKDAY(W$16,2)=6,),OR($B26="Chan, Man Wai",$B26="Ng Suet Ping, Yoko",$B26="Li Mui Ying",$B26="Lee Ka Po, Kathy",$B26="Huang Huanrao, Yoyo")),"HDAL",
IF(OR(WEEKDAY(W$16,2)=7,AND(WEEKDAY(W$16,2)=6,SUMPRODUCT(($B$9:$AG$10=IFERROR(VLOOKUP($B26,'On call stat'!$S$3:$T$20,2,FALSE),""))*($B$3:$AG$3=W$16))&gt;0)),"DO",
IF(SUMPRODUCT(($B$9:$AG$10=IFERROR(VLOOKUP($B26,'On call stat'!$S$3:$T$20,2,FALSE),""))*($B$3:$AG$3=W$16))&gt;0,"AL",
IF(WEEKDAY(W$16,2)=6,
IF($B26="Chan, Man Wai","HD",
IF($B26="Ng Suet Ping, Yoko","HD",
IF($B26="Li Mui Ying","HD1",
IF($B26="Huang Huanrao, Yoyo",IF(MOD(W$13,2)=1,"HD2",IFERROR(IF(SUMPRODUCT(($B$3:$AG$3=W$16)*($B$5:$AG$7=VLOOKUP($B26,'On call stat'!$S$3:$T$10,2,FALSE)))&gt;0,"D","DO"),"DO")),
IF($B26="Lee Ka Po, Kathy",IF(MOD(W$13,2)=0,"HD2",IFERROR(IF(SUMPRODUCT(($B$3:$AG$3=W$16)*($B$5:$AG$7=VLOOKUP($B26,'On call stat'!$S$3:$T$10,2,FALSE)))&gt;0,"D","DO"),"DO")),
IF($B26="Fan Hoi Wan, Ivy",IF(MOD(W$13,2)=0,"D",IFERROR(IF(SUMPRODUCT(($B$3:$AG$3=W$16)*($B$5:$AG$7=VLOOKUP($B26,'On call stat'!$S$3:$T$10,2,FALSE)))&gt;0,"D","DO"),"DO")),
IFERROR(IF(SUMPRODUCT(($B$3:$AG$3=W$16)*($B$5:$AG$7=VLOOKUP($B26,'On call stat'!$S$3:$T$10,2,FALSE)))&gt;0,"D","DO"),"DO"))))))),
IF($B26="Huang Huanrao, Yoyo",IF(MOD(W$13,2)=1,"D1","B6"),
IF($B26="Lee Ka Po, Kathy",IF(MOD(W$13,2)=0,"D1","B6"),
IFERROR(IF(SUMPRODUCT(($B$3:$AG$3=W$16)*($B$5:$AG$7=VLOOKUP($B26,'On call stat'!$S$3:$T$10,2,FALSE)))&gt;0,"E","D"),"D"))))))))</f>
        <v>E</v>
      </c>
      <c r="X26" s="40" t="str">
        <f>IF(COUNTIF(PH!$A:$A,X$16)&gt;0,"PH",
IF(AND(SUMPRODUCT(($B$9:$AG$10=IFERROR(VLOOKUP($B26,'On call stat'!$S$3:$T$20,2,FALSE),""))*($B$3:$AG$3=X$16))&gt;0,OR(WEEKDAY(X$16,2)=6,),OR($B26="Chan, Man Wai",$B26="Ng Suet Ping, Yoko",$B26="Li Mui Ying",$B26="Lee Ka Po, Kathy",$B26="Huang Huanrao, Yoyo")),"HDAL",
IF(OR(WEEKDAY(X$16,2)=7,AND(WEEKDAY(X$16,2)=6,SUMPRODUCT(($B$9:$AG$10=IFERROR(VLOOKUP($B26,'On call stat'!$S$3:$T$20,2,FALSE),""))*($B$3:$AG$3=X$16))&gt;0)),"DO",
IF(SUMPRODUCT(($B$9:$AG$10=IFERROR(VLOOKUP($B26,'On call stat'!$S$3:$T$20,2,FALSE),""))*($B$3:$AG$3=X$16))&gt;0,"AL",
IF(WEEKDAY(X$16,2)=6,
IF($B26="Chan, Man Wai","HD",
IF($B26="Ng Suet Ping, Yoko","HD",
IF($B26="Li Mui Ying","HD1",
IF($B26="Huang Huanrao, Yoyo",IF(MOD(X$13,2)=1,"HD2",IFERROR(IF(SUMPRODUCT(($B$3:$AG$3=X$16)*($B$5:$AG$7=VLOOKUP($B26,'On call stat'!$S$3:$T$10,2,FALSE)))&gt;0,"D","DO"),"DO")),
IF($B26="Lee Ka Po, Kathy",IF(MOD(X$13,2)=0,"HD2",IFERROR(IF(SUMPRODUCT(($B$3:$AG$3=X$16)*($B$5:$AG$7=VLOOKUP($B26,'On call stat'!$S$3:$T$10,2,FALSE)))&gt;0,"D","DO"),"DO")),
IF($B26="Fan Hoi Wan, Ivy",IF(MOD(X$13,2)=0,"D",IFERROR(IF(SUMPRODUCT(($B$3:$AG$3=X$16)*($B$5:$AG$7=VLOOKUP($B26,'On call stat'!$S$3:$T$10,2,FALSE)))&gt;0,"D","DO"),"DO")),
IFERROR(IF(SUMPRODUCT(($B$3:$AG$3=X$16)*($B$5:$AG$7=VLOOKUP($B26,'On call stat'!$S$3:$T$10,2,FALSE)))&gt;0,"D","DO"),"DO"))))))),
IF($B26="Huang Huanrao, Yoyo",IF(MOD(X$13,2)=1,"D1","B6"),
IF($B26="Lee Ka Po, Kathy",IF(MOD(X$13,2)=0,"D1","B6"),
IFERROR(IF(SUMPRODUCT(($B$3:$AG$3=X$16)*($B$5:$AG$7=VLOOKUP($B26,'On call stat'!$S$3:$T$10,2,FALSE)))&gt;0,"E","D"),"D"))))))))</f>
        <v>E</v>
      </c>
      <c r="Y26" s="40" t="str">
        <f>IF(COUNTIF(PH!$A:$A,Y$16)&gt;0,"PH",
IF(AND(SUMPRODUCT(($B$9:$AG$10=IFERROR(VLOOKUP($B26,'On call stat'!$S$3:$T$20,2,FALSE),""))*($B$3:$AG$3=Y$16))&gt;0,OR(WEEKDAY(Y$16,2)=6,),OR($B26="Chan, Man Wai",$B26="Ng Suet Ping, Yoko",$B26="Li Mui Ying",$B26="Lee Ka Po, Kathy",$B26="Huang Huanrao, Yoyo")),"HDAL",
IF(OR(WEEKDAY(Y$16,2)=7,AND(WEEKDAY(Y$16,2)=6,SUMPRODUCT(($B$9:$AG$10=IFERROR(VLOOKUP($B26,'On call stat'!$S$3:$T$20,2,FALSE),""))*($B$3:$AG$3=Y$16))&gt;0)),"DO",
IF(SUMPRODUCT(($B$9:$AG$10=IFERROR(VLOOKUP($B26,'On call stat'!$S$3:$T$20,2,FALSE),""))*($B$3:$AG$3=Y$16))&gt;0,"AL",
IF(WEEKDAY(Y$16,2)=6,
IF($B26="Chan, Man Wai","HD",
IF($B26="Ng Suet Ping, Yoko","HD",
IF($B26="Li Mui Ying","HD1",
IF($B26="Huang Huanrao, Yoyo",IF(MOD(Y$13,2)=1,"HD2",IFERROR(IF(SUMPRODUCT(($B$3:$AG$3=Y$16)*($B$5:$AG$7=VLOOKUP($B26,'On call stat'!$S$3:$T$10,2,FALSE)))&gt;0,"D","DO"),"DO")),
IF($B26="Lee Ka Po, Kathy",IF(MOD(Y$13,2)=0,"HD2",IFERROR(IF(SUMPRODUCT(($B$3:$AG$3=Y$16)*($B$5:$AG$7=VLOOKUP($B26,'On call stat'!$S$3:$T$10,2,FALSE)))&gt;0,"D","DO"),"DO")),
IF($B26="Fan Hoi Wan, Ivy",IF(MOD(Y$13,2)=0,"D",IFERROR(IF(SUMPRODUCT(($B$3:$AG$3=Y$16)*($B$5:$AG$7=VLOOKUP($B26,'On call stat'!$S$3:$T$10,2,FALSE)))&gt;0,"D","DO"),"DO")),
IFERROR(IF(SUMPRODUCT(($B$3:$AG$3=Y$16)*($B$5:$AG$7=VLOOKUP($B26,'On call stat'!$S$3:$T$10,2,FALSE)))&gt;0,"D","DO"),"DO"))))))),
IF($B26="Huang Huanrao, Yoyo",IF(MOD(Y$13,2)=1,"D1","B6"),
IF($B26="Lee Ka Po, Kathy",IF(MOD(Y$13,2)=0,"D1","B6"),
IFERROR(IF(SUMPRODUCT(($B$3:$AG$3=Y$16)*($B$5:$AG$7=VLOOKUP($B26,'On call stat'!$S$3:$T$10,2,FALSE)))&gt;0,"E","D"),"D"))))))))</f>
        <v>E</v>
      </c>
      <c r="Z26" s="40" t="str">
        <f>IF(COUNTIF(PH!$A:$A,Z$16)&gt;0,"PH",
IF(AND(SUMPRODUCT(($B$9:$AG$10=IFERROR(VLOOKUP($B26,'On call stat'!$S$3:$T$20,2,FALSE),""))*($B$3:$AG$3=Z$16))&gt;0,OR(WEEKDAY(Z$16,2)=6,),OR($B26="Chan, Man Wai",$B26="Ng Suet Ping, Yoko",$B26="Li Mui Ying",$B26="Lee Ka Po, Kathy",$B26="Huang Huanrao, Yoyo")),"HDAL",
IF(OR(WEEKDAY(Z$16,2)=7,AND(WEEKDAY(Z$16,2)=6,SUMPRODUCT(($B$9:$AG$10=IFERROR(VLOOKUP($B26,'On call stat'!$S$3:$T$20,2,FALSE),""))*($B$3:$AG$3=Z$16))&gt;0)),"DO",
IF(SUMPRODUCT(($B$9:$AG$10=IFERROR(VLOOKUP($B26,'On call stat'!$S$3:$T$20,2,FALSE),""))*($B$3:$AG$3=Z$16))&gt;0,"AL",
IF(WEEKDAY(Z$16,2)=6,
IF($B26="Chan, Man Wai","HD",
IF($B26="Ng Suet Ping, Yoko","HD",
IF($B26="Li Mui Ying","HD1",
IF($B26="Huang Huanrao, Yoyo",IF(MOD(Z$13,2)=1,"HD2",IFERROR(IF(SUMPRODUCT(($B$3:$AG$3=Z$16)*($B$5:$AG$7=VLOOKUP($B26,'On call stat'!$S$3:$T$10,2,FALSE)))&gt;0,"D","DO"),"DO")),
IF($B26="Lee Ka Po, Kathy",IF(MOD(Z$13,2)=0,"HD2",IFERROR(IF(SUMPRODUCT(($B$3:$AG$3=Z$16)*($B$5:$AG$7=VLOOKUP($B26,'On call stat'!$S$3:$T$10,2,FALSE)))&gt;0,"D","DO"),"DO")),
IF($B26="Fan Hoi Wan, Ivy",IF(MOD(Z$13,2)=0,"D",IFERROR(IF(SUMPRODUCT(($B$3:$AG$3=Z$16)*($B$5:$AG$7=VLOOKUP($B26,'On call stat'!$S$3:$T$10,2,FALSE)))&gt;0,"D","DO"),"DO")),
IFERROR(IF(SUMPRODUCT(($B$3:$AG$3=Z$16)*($B$5:$AG$7=VLOOKUP($B26,'On call stat'!$S$3:$T$10,2,FALSE)))&gt;0,"D","DO"),"DO"))))))),
IF($B26="Huang Huanrao, Yoyo",IF(MOD(Z$13,2)=1,"D1","B6"),
IF($B26="Lee Ka Po, Kathy",IF(MOD(Z$13,2)=0,"D1","B6"),
IFERROR(IF(SUMPRODUCT(($B$3:$AG$3=Z$16)*($B$5:$AG$7=VLOOKUP($B26,'On call stat'!$S$3:$T$10,2,FALSE)))&gt;0,"E","D"),"D"))))))))</f>
        <v>E</v>
      </c>
      <c r="AA26" s="40" t="str">
        <f>IF(COUNTIF(PH!$A:$A,AA$16)&gt;0,"PH",
IF(AND(SUMPRODUCT(($B$9:$AG$10=IFERROR(VLOOKUP($B26,'On call stat'!$S$3:$T$20,2,FALSE),""))*($B$3:$AG$3=AA$16))&gt;0,OR(WEEKDAY(AA$16,2)=6,),OR($B26="Chan, Man Wai",$B26="Ng Suet Ping, Yoko",$B26="Li Mui Ying",$B26="Lee Ka Po, Kathy",$B26="Huang Huanrao, Yoyo")),"HDAL",
IF(OR(WEEKDAY(AA$16,2)=7,AND(WEEKDAY(AA$16,2)=6,SUMPRODUCT(($B$9:$AG$10=IFERROR(VLOOKUP($B26,'On call stat'!$S$3:$T$20,2,FALSE),""))*($B$3:$AG$3=AA$16))&gt;0)),"DO",
IF(SUMPRODUCT(($B$9:$AG$10=IFERROR(VLOOKUP($B26,'On call stat'!$S$3:$T$20,2,FALSE),""))*($B$3:$AG$3=AA$16))&gt;0,"AL",
IF(WEEKDAY(AA$16,2)=6,
IF($B26="Chan, Man Wai","HD",
IF($B26="Ng Suet Ping, Yoko","HD",
IF($B26="Li Mui Ying","HD1",
IF($B26="Huang Huanrao, Yoyo",IF(MOD(AA$13,2)=1,"HD2",IFERROR(IF(SUMPRODUCT(($B$3:$AG$3=AA$16)*($B$5:$AG$7=VLOOKUP($B26,'On call stat'!$S$3:$T$10,2,FALSE)))&gt;0,"D","DO"),"DO")),
IF($B26="Lee Ka Po, Kathy",IF(MOD(AA$13,2)=0,"HD2",IFERROR(IF(SUMPRODUCT(($B$3:$AG$3=AA$16)*($B$5:$AG$7=VLOOKUP($B26,'On call stat'!$S$3:$T$10,2,FALSE)))&gt;0,"D","DO"),"DO")),
IF($B26="Fan Hoi Wan, Ivy",IF(MOD(AA$13,2)=0,"D",IFERROR(IF(SUMPRODUCT(($B$3:$AG$3=AA$16)*($B$5:$AG$7=VLOOKUP($B26,'On call stat'!$S$3:$T$10,2,FALSE)))&gt;0,"D","DO"),"DO")),
IFERROR(IF(SUMPRODUCT(($B$3:$AG$3=AA$16)*($B$5:$AG$7=VLOOKUP($B26,'On call stat'!$S$3:$T$10,2,FALSE)))&gt;0,"D","DO"),"DO"))))))),
IF($B26="Huang Huanrao, Yoyo",IF(MOD(AA$13,2)=1,"D1","B6"),
IF($B26="Lee Ka Po, Kathy",IF(MOD(AA$13,2)=0,"D1","B6"),
IFERROR(IF(SUMPRODUCT(($B$3:$AG$3=AA$16)*($B$5:$AG$7=VLOOKUP($B26,'On call stat'!$S$3:$T$10,2,FALSE)))&gt;0,"E","D"),"D"))))))))</f>
        <v>PH</v>
      </c>
      <c r="AB26" s="40" t="str">
        <f>IF(COUNTIF(PH!$A:$A,AB$16)&gt;0,"PH",
IF(AND(SUMPRODUCT(($B$9:$AG$10=IFERROR(VLOOKUP($B26,'On call stat'!$S$3:$T$20,2,FALSE),""))*($B$3:$AG$3=AB$16))&gt;0,OR(WEEKDAY(AB$16,2)=6,),OR($B26="Chan, Man Wai",$B26="Ng Suet Ping, Yoko",$B26="Li Mui Ying",$B26="Lee Ka Po, Kathy",$B26="Huang Huanrao, Yoyo")),"HDAL",
IF(OR(WEEKDAY(AB$16,2)=7,AND(WEEKDAY(AB$16,2)=6,SUMPRODUCT(($B$9:$AG$10=IFERROR(VLOOKUP($B26,'On call stat'!$S$3:$T$20,2,FALSE),""))*($B$3:$AG$3=AB$16))&gt;0)),"DO",
IF(SUMPRODUCT(($B$9:$AG$10=IFERROR(VLOOKUP($B26,'On call stat'!$S$3:$T$20,2,FALSE),""))*($B$3:$AG$3=AB$16))&gt;0,"AL",
IF(WEEKDAY(AB$16,2)=6,
IF($B26="Chan, Man Wai","HD",
IF($B26="Ng Suet Ping, Yoko","HD",
IF($B26="Li Mui Ying","HD1",
IF($B26="Huang Huanrao, Yoyo",IF(MOD(AB$13,2)=1,"HD2",IFERROR(IF(SUMPRODUCT(($B$3:$AG$3=AB$16)*($B$5:$AG$7=VLOOKUP($B26,'On call stat'!$S$3:$T$10,2,FALSE)))&gt;0,"D","DO"),"DO")),
IF($B26="Lee Ka Po, Kathy",IF(MOD(AB$13,2)=0,"HD2",IFERROR(IF(SUMPRODUCT(($B$3:$AG$3=AB$16)*($B$5:$AG$7=VLOOKUP($B26,'On call stat'!$S$3:$T$10,2,FALSE)))&gt;0,"D","DO"),"DO")),
IF($B26="Fan Hoi Wan, Ivy",IF(MOD(AB$13,2)=0,"D",IFERROR(IF(SUMPRODUCT(($B$3:$AG$3=AB$16)*($B$5:$AG$7=VLOOKUP($B26,'On call stat'!$S$3:$T$10,2,FALSE)))&gt;0,"D","DO"),"DO")),
IFERROR(IF(SUMPRODUCT(($B$3:$AG$3=AB$16)*($B$5:$AG$7=VLOOKUP($B26,'On call stat'!$S$3:$T$10,2,FALSE)))&gt;0,"D","DO"),"DO"))))))),
IF($B26="Huang Huanrao, Yoyo",IF(MOD(AB$13,2)=1,"D1","B6"),
IF($B26="Lee Ka Po, Kathy",IF(MOD(AB$13,2)=0,"D1","B6"),
IFERROR(IF(SUMPRODUCT(($B$3:$AG$3=AB$16)*($B$5:$AG$7=VLOOKUP($B26,'On call stat'!$S$3:$T$10,2,FALSE)))&gt;0,"E","D"),"D"))))))))</f>
        <v>PH</v>
      </c>
      <c r="AC26" s="40" t="str">
        <f>IF(COUNTIF(PH!$A:$A,AC$16)&gt;0,"PH",
IF(AND(SUMPRODUCT(($B$9:$AG$10=IFERROR(VLOOKUP($B26,'On call stat'!$S$3:$T$20,2,FALSE),""))*($B$3:$AG$3=AC$16))&gt;0,OR(WEEKDAY(AC$16,2)=6,),OR($B26="Chan, Man Wai",$B26="Ng Suet Ping, Yoko",$B26="Li Mui Ying",$B26="Lee Ka Po, Kathy",$B26="Huang Huanrao, Yoyo")),"HDAL",
IF(OR(WEEKDAY(AC$16,2)=7,AND(WEEKDAY(AC$16,2)=6,SUMPRODUCT(($B$9:$AG$10=IFERROR(VLOOKUP($B26,'On call stat'!$S$3:$T$20,2,FALSE),""))*($B$3:$AG$3=AC$16))&gt;0)),"DO",
IF(SUMPRODUCT(($B$9:$AG$10=IFERROR(VLOOKUP($B26,'On call stat'!$S$3:$T$20,2,FALSE),""))*($B$3:$AG$3=AC$16))&gt;0,"AL",
IF(WEEKDAY(AC$16,2)=6,
IF($B26="Chan, Man Wai","HD",
IF($B26="Ng Suet Ping, Yoko","HD",
IF($B26="Li Mui Ying","HD1",
IF($B26="Huang Huanrao, Yoyo",IF(MOD(AC$13,2)=1,"HD2",IFERROR(IF(SUMPRODUCT(($B$3:$AG$3=AC$16)*($B$5:$AG$7=VLOOKUP($B26,'On call stat'!$S$3:$T$10,2,FALSE)))&gt;0,"D","DO"),"DO")),
IF($B26="Lee Ka Po, Kathy",IF(MOD(AC$13,2)=0,"HD2",IFERROR(IF(SUMPRODUCT(($B$3:$AG$3=AC$16)*($B$5:$AG$7=VLOOKUP($B26,'On call stat'!$S$3:$T$10,2,FALSE)))&gt;0,"D","DO"),"DO")),
IF($B26="Fan Hoi Wan, Ivy",IF(MOD(AC$13,2)=0,"D",IFERROR(IF(SUMPRODUCT(($B$3:$AG$3=AC$16)*($B$5:$AG$7=VLOOKUP($B26,'On call stat'!$S$3:$T$10,2,FALSE)))&gt;0,"D","DO"),"DO")),
IFERROR(IF(SUMPRODUCT(($B$3:$AG$3=AC$16)*($B$5:$AG$7=VLOOKUP($B26,'On call stat'!$S$3:$T$10,2,FALSE)))&gt;0,"D","DO"),"DO"))))))),
IF($B26="Huang Huanrao, Yoyo",IF(MOD(AC$13,2)=1,"D1","B6"),
IF($B26="Lee Ka Po, Kathy",IF(MOD(AC$13,2)=0,"D1","B6"),
IFERROR(IF(SUMPRODUCT(($B$3:$AG$3=AC$16)*($B$5:$AG$7=VLOOKUP($B26,'On call stat'!$S$3:$T$10,2,FALSE)))&gt;0,"E","D"),"D"))))))))</f>
        <v>DO</v>
      </c>
      <c r="AD26" s="40" t="str">
        <f>IF(COUNTIF(PH!$A:$A,AD$16)&gt;0,"PH",
IF(AND(SUMPRODUCT(($B$9:$AG$10=IFERROR(VLOOKUP($B26,'On call stat'!$S$3:$T$20,2,FALSE),""))*($B$3:$AG$3=AD$16))&gt;0,OR(WEEKDAY(AD$16,2)=6,),OR($B26="Chan, Man Wai",$B26="Ng Suet Ping, Yoko",$B26="Li Mui Ying",$B26="Lee Ka Po, Kathy",$B26="Huang Huanrao, Yoyo")),"HDAL",
IF(OR(WEEKDAY(AD$16,2)=7,AND(WEEKDAY(AD$16,2)=6,SUMPRODUCT(($B$9:$AG$10=IFERROR(VLOOKUP($B26,'On call stat'!$S$3:$T$20,2,FALSE),""))*($B$3:$AG$3=AD$16))&gt;0)),"DO",
IF(SUMPRODUCT(($B$9:$AG$10=IFERROR(VLOOKUP($B26,'On call stat'!$S$3:$T$20,2,FALSE),""))*($B$3:$AG$3=AD$16))&gt;0,"AL",
IF(WEEKDAY(AD$16,2)=6,
IF($B26="Chan, Man Wai","HD",
IF($B26="Ng Suet Ping, Yoko","HD",
IF($B26="Li Mui Ying","HD1",
IF($B26="Huang Huanrao, Yoyo",IF(MOD(AD$13,2)=1,"HD2",IFERROR(IF(SUMPRODUCT(($B$3:$AG$3=AD$16)*($B$5:$AG$7=VLOOKUP($B26,'On call stat'!$S$3:$T$10,2,FALSE)))&gt;0,"D","DO"),"DO")),
IF($B26="Lee Ka Po, Kathy",IF(MOD(AD$13,2)=0,"HD2",IFERROR(IF(SUMPRODUCT(($B$3:$AG$3=AD$16)*($B$5:$AG$7=VLOOKUP($B26,'On call stat'!$S$3:$T$10,2,FALSE)))&gt;0,"D","DO"),"DO")),
IF($B26="Fan Hoi Wan, Ivy",IF(MOD(AD$13,2)=0,"D",IFERROR(IF(SUMPRODUCT(($B$3:$AG$3=AD$16)*($B$5:$AG$7=VLOOKUP($B26,'On call stat'!$S$3:$T$10,2,FALSE)))&gt;0,"D","DO"),"DO")),
IFERROR(IF(SUMPRODUCT(($B$3:$AG$3=AD$16)*($B$5:$AG$7=VLOOKUP($B26,'On call stat'!$S$3:$T$10,2,FALSE)))&gt;0,"D","DO"),"DO"))))))),
IF($B26="Huang Huanrao, Yoyo",IF(MOD(AD$13,2)=1,"D1","B6"),
IF($B26="Lee Ka Po, Kathy",IF(MOD(AD$13,2)=0,"D1","B6"),
IFERROR(IF(SUMPRODUCT(($B$3:$AG$3=AD$16)*($B$5:$AG$7=VLOOKUP($B26,'On call stat'!$S$3:$T$10,2,FALSE)))&gt;0,"E","D"),"D"))))))))</f>
        <v>D</v>
      </c>
      <c r="AE26" s="40" t="str">
        <f>IF(COUNTIF(PH!$A:$A,AE$16)&gt;0,"PH",
IF(AND(SUMPRODUCT(($B$9:$AG$10=IFERROR(VLOOKUP($B26,'On call stat'!$S$3:$T$20,2,FALSE),""))*($B$3:$AG$3=AE$16))&gt;0,OR(WEEKDAY(AE$16,2)=6,),OR($B26="Chan, Man Wai",$B26="Ng Suet Ping, Yoko",$B26="Li Mui Ying",$B26="Lee Ka Po, Kathy",$B26="Huang Huanrao, Yoyo")),"HDAL",
IF(OR(WEEKDAY(AE$16,2)=7,AND(WEEKDAY(AE$16,2)=6,SUMPRODUCT(($B$9:$AG$10=IFERROR(VLOOKUP($B26,'On call stat'!$S$3:$T$20,2,FALSE),""))*($B$3:$AG$3=AE$16))&gt;0)),"DO",
IF(SUMPRODUCT(($B$9:$AG$10=IFERROR(VLOOKUP($B26,'On call stat'!$S$3:$T$20,2,FALSE),""))*($B$3:$AG$3=AE$16))&gt;0,"AL",
IF(WEEKDAY(AE$16,2)=6,
IF($B26="Chan, Man Wai","HD",
IF($B26="Ng Suet Ping, Yoko","HD",
IF($B26="Li Mui Ying","HD1",
IF($B26="Huang Huanrao, Yoyo",IF(MOD(AE$13,2)=1,"HD2",IFERROR(IF(SUMPRODUCT(($B$3:$AG$3=AE$16)*($B$5:$AG$7=VLOOKUP($B26,'On call stat'!$S$3:$T$10,2,FALSE)))&gt;0,"D","DO"),"DO")),
IF($B26="Lee Ka Po, Kathy",IF(MOD(AE$13,2)=0,"HD2",IFERROR(IF(SUMPRODUCT(($B$3:$AG$3=AE$16)*($B$5:$AG$7=VLOOKUP($B26,'On call stat'!$S$3:$T$10,2,FALSE)))&gt;0,"D","DO"),"DO")),
IF($B26="Fan Hoi Wan, Ivy",IF(MOD(AE$13,2)=0,"D",IFERROR(IF(SUMPRODUCT(($B$3:$AG$3=AE$16)*($B$5:$AG$7=VLOOKUP($B26,'On call stat'!$S$3:$T$10,2,FALSE)))&gt;0,"D","DO"),"DO")),
IFERROR(IF(SUMPRODUCT(($B$3:$AG$3=AE$16)*($B$5:$AG$7=VLOOKUP($B26,'On call stat'!$S$3:$T$10,2,FALSE)))&gt;0,"D","DO"),"DO"))))))),
IF($B26="Huang Huanrao, Yoyo",IF(MOD(AE$13,2)=1,"D1","B6"),
IF($B26="Lee Ka Po, Kathy",IF(MOD(AE$13,2)=0,"D1","B6"),
IFERROR(IF(SUMPRODUCT(($B$3:$AG$3=AE$16)*($B$5:$AG$7=VLOOKUP($B26,'On call stat'!$S$3:$T$10,2,FALSE)))&gt;0,"E","D"),"D"))))))))</f>
        <v>D</v>
      </c>
      <c r="AF26" s="40" t="str">
        <f>IF(COUNTIF(PH!$A:$A,AF$16)&gt;0,"PH",
IF(AND(SUMPRODUCT(($B$9:$AG$10=IFERROR(VLOOKUP($B26,'On call stat'!$S$3:$T$20,2,FALSE),""))*($B$3:$AG$3=AF$16))&gt;0,OR(WEEKDAY(AF$16,2)=6,),OR($B26="Chan, Man Wai",$B26="Ng Suet Ping, Yoko",$B26="Li Mui Ying",$B26="Lee Ka Po, Kathy",$B26="Huang Huanrao, Yoyo")),"HDAL",
IF(OR(WEEKDAY(AF$16,2)=7,AND(WEEKDAY(AF$16,2)=6,SUMPRODUCT(($B$9:$AG$10=IFERROR(VLOOKUP($B26,'On call stat'!$S$3:$T$20,2,FALSE),""))*($B$3:$AG$3=AF$16))&gt;0)),"DO",
IF(SUMPRODUCT(($B$9:$AG$10=IFERROR(VLOOKUP($B26,'On call stat'!$S$3:$T$20,2,FALSE),""))*($B$3:$AG$3=AF$16))&gt;0,"AL",
IF(WEEKDAY(AF$16,2)=6,
IF($B26="Chan, Man Wai","HD",
IF($B26="Ng Suet Ping, Yoko","HD",
IF($B26="Li Mui Ying","HD1",
IF($B26="Huang Huanrao, Yoyo",IF(MOD(AF$13,2)=1,"HD2",IFERROR(IF(SUMPRODUCT(($B$3:$AG$3=AF$16)*($B$5:$AG$7=VLOOKUP($B26,'On call stat'!$S$3:$T$10,2,FALSE)))&gt;0,"D","DO"),"DO")),
IF($B26="Lee Ka Po, Kathy",IF(MOD(AF$13,2)=0,"HD2",IFERROR(IF(SUMPRODUCT(($B$3:$AG$3=AF$16)*($B$5:$AG$7=VLOOKUP($B26,'On call stat'!$S$3:$T$10,2,FALSE)))&gt;0,"D","DO"),"DO")),
IF($B26="Fan Hoi Wan, Ivy",IF(MOD(AF$13,2)=0,"D",IFERROR(IF(SUMPRODUCT(($B$3:$AG$3=AF$16)*($B$5:$AG$7=VLOOKUP($B26,'On call stat'!$S$3:$T$10,2,FALSE)))&gt;0,"D","DO"),"DO")),
IFERROR(IF(SUMPRODUCT(($B$3:$AG$3=AF$16)*($B$5:$AG$7=VLOOKUP($B26,'On call stat'!$S$3:$T$10,2,FALSE)))&gt;0,"D","DO"),"DO"))))))),
IF($B26="Huang Huanrao, Yoyo",IF(MOD(AF$13,2)=1,"D1","B6"),
IF($B26="Lee Ka Po, Kathy",IF(MOD(AF$13,2)=0,"D1","B6"),
IFERROR(IF(SUMPRODUCT(($B$3:$AG$3=AF$16)*($B$5:$AG$7=VLOOKUP($B26,'On call stat'!$S$3:$T$10,2,FALSE)))&gt;0,"E","D"),"D"))))))))</f>
        <v>D</v>
      </c>
      <c r="AG26" s="40" t="str">
        <f>IF(COUNTIF(PH!$A:$A,AG$16)&gt;0,"PH",
IF(AND(SUMPRODUCT(($B$9:$AG$10=IFERROR(VLOOKUP($B26,'On call stat'!$S$3:$T$20,2,FALSE),""))*($B$3:$AG$3=AG$16))&gt;0,OR(WEEKDAY(AG$16,2)=6,),OR($B26="Chan, Man Wai",$B26="Ng Suet Ping, Yoko",$B26="Li Mui Ying",$B26="Lee Ka Po, Kathy",$B26="Huang Huanrao, Yoyo")),"HDAL",
IF(OR(WEEKDAY(AG$16,2)=7,AND(WEEKDAY(AG$16,2)=6,SUMPRODUCT(($B$9:$AG$10=IFERROR(VLOOKUP($B26,'On call stat'!$S$3:$T$20,2,FALSE),""))*($B$3:$AG$3=AG$16))&gt;0)),"DO",
IF(SUMPRODUCT(($B$9:$AG$10=IFERROR(VLOOKUP($B26,'On call stat'!$S$3:$T$20,2,FALSE),""))*($B$3:$AG$3=AG$16))&gt;0,"AL",
IF(WEEKDAY(AG$16,2)=6,
IF($B26="Chan, Man Wai","HD",
IF($B26="Ng Suet Ping, Yoko","HD",
IF($B26="Li Mui Ying","HD1",
IF($B26="Huang Huanrao, Yoyo",IF(MOD(AG$13,2)=1,"HD2",IFERROR(IF(SUMPRODUCT(($B$3:$AG$3=AG$16)*($B$5:$AG$7=VLOOKUP($B26,'On call stat'!$S$3:$T$10,2,FALSE)))&gt;0,"D","DO"),"DO")),
IF($B26="Lee Ka Po, Kathy",IF(MOD(AG$13,2)=0,"HD2",IFERROR(IF(SUMPRODUCT(($B$3:$AG$3=AG$16)*($B$5:$AG$7=VLOOKUP($B26,'On call stat'!$S$3:$T$10,2,FALSE)))&gt;0,"D","DO"),"DO")),
IF($B26="Fan Hoi Wan, Ivy",IF(MOD(AG$13,2)=0,"D",IFERROR(IF(SUMPRODUCT(($B$3:$AG$3=AG$16)*($B$5:$AG$7=VLOOKUP($B26,'On call stat'!$S$3:$T$10,2,FALSE)))&gt;0,"D","DO"),"DO")),
IFERROR(IF(SUMPRODUCT(($B$3:$AG$3=AG$16)*($B$5:$AG$7=VLOOKUP($B26,'On call stat'!$S$3:$T$10,2,FALSE)))&gt;0,"D","DO"),"DO"))))))),
IF($B26="Huang Huanrao, Yoyo",IF(MOD(AG$13,2)=1,"D1","B6"),
IF($B26="Lee Ka Po, Kathy",IF(MOD(AG$13,2)=0,"D1","B6"),
IFERROR(IF(SUMPRODUCT(($B$3:$AG$3=AG$16)*($B$5:$AG$7=VLOOKUP($B26,'On call stat'!$S$3:$T$10,2,FALSE)))&gt;0,"E","D"),"D"))))))))</f>
        <v>D</v>
      </c>
      <c r="AK26" s="11" t="s">
        <v>26</v>
      </c>
      <c r="AL26" s="65">
        <f t="shared" si="4"/>
        <v>184</v>
      </c>
      <c r="AM26" s="66" cm="1">
        <f t="array" ref="AM26">SUMPRODUCT((C26:AG26="AL") *  (COUNTIF(PH!$A:$A, C$16:AG$16)=0) *(WEEKDAY(C$16:AG$16,2)&lt;=5) *  8)+SUMPRODUCT((C26:AG26="HDAL") *  (COUNTIF(PH!$A:$A, C$16:AG$16)=0) *(WEEKDAY(C$16:AG$16,2)&lt;=6) *  4)</f>
        <v>0</v>
      </c>
      <c r="AN26" s="68">
        <f t="shared" si="5"/>
        <v>184</v>
      </c>
      <c r="AO26" s="67">
        <f>AN26-$AN$18+4</f>
        <v>0</v>
      </c>
      <c r="AP26" s="67">
        <f>AO26+Nov!AP26</f>
        <v>4</v>
      </c>
    </row>
    <row r="27" spans="1:42" ht="37.5" customHeight="1" thickBot="1">
      <c r="A27" s="23" t="s">
        <v>63</v>
      </c>
      <c r="B27" s="22" t="s">
        <v>64</v>
      </c>
      <c r="C27" s="40" t="str">
        <f>IF(COUNTIF(PH!$A:$A,C$16)&gt;0,"PH",
IF(AND(SUMPRODUCT(($B$9:$AG$10=IFERROR(VLOOKUP($B27,'On call stat'!$S$3:$T$20,2,FALSE),""))*($B$3:$AG$3=C$16))&gt;0,OR(WEEKDAY(C$16,2)=6,),OR($B27="Chan, Man Wai",$B27="Ng Suet Ping, Yoko",$B27="Li Mui Ying",$B27="Lee Ka Po, Kathy",$B27="Huang Huanrao, Yoyo")),"HDAL",
IF(OR(WEEKDAY(C$16,2)=7,AND(WEEKDAY(C$16,2)=6,SUMPRODUCT(($B$9:$AG$10=IFERROR(VLOOKUP($B27,'On call stat'!$S$3:$T$20,2,FALSE),""))*($B$3:$AG$3=C$16))&gt;0)),"DO",
IF(SUMPRODUCT(($B$9:$AG$10=IFERROR(VLOOKUP($B27,'On call stat'!$S$3:$T$20,2,FALSE),""))*($B$3:$AG$3=C$16))&gt;0,"AL",
IF(WEEKDAY(C$16,2)=6,
IF($B27="Chan, Man Wai","HD",
IF($B27="Ng Suet Ping, Yoko","HD",
IF($B27="Li Mui Ying","HD1",
IF($B27="Huang Huanrao, Yoyo",IF(MOD(C$13,2)=1,"HD2",IFERROR(IF(SUMPRODUCT(($B$3:$AG$3=C$16)*($B$5:$AG$7=VLOOKUP($B27,'On call stat'!$S$3:$T$10,2,FALSE)))&gt;0,"D","DO"),"DO")),
IF($B27="Lee Ka Po, Kathy",IF(MOD(C$13,2)=0,"HD2",IFERROR(IF(SUMPRODUCT(($B$3:$AG$3=C$16)*($B$5:$AG$7=VLOOKUP($B27,'On call stat'!$S$3:$T$10,2,FALSE)))&gt;0,"D","DO"),"DO")),
IF($B27="Fan Hoi Wan, Ivy",IF(MOD(C$13,2)=0,"D",IFERROR(IF(SUMPRODUCT(($B$3:$AG$3=C$16)*($B$5:$AG$7=VLOOKUP($B27,'On call stat'!$S$3:$T$10,2,FALSE)))&gt;0,"D","DO"),"DO")),
IFERROR(IF(SUMPRODUCT(($B$3:$AG$3=C$16)*($B$5:$AG$7=VLOOKUP($B27,'On call stat'!$S$3:$T$10,2,FALSE)))&gt;0,"D","DO"),"DO"))))))),
IF($B27="Huang Huanrao, Yoyo",IF(MOD(C$13,2)=1,"D1","B6"),
IF($B27="Lee Ka Po, Kathy",IF(MOD(C$13,2)=0,"D1","B6"),
IFERROR(IF(SUMPRODUCT(($B$3:$AG$3=C$16)*($B$5:$AG$7=VLOOKUP($B27,'On call stat'!$S$3:$T$10,2,FALSE)))&gt;0,"E","D"),"D"))))))))</f>
        <v>B6</v>
      </c>
      <c r="D27" s="40" t="str">
        <f>IF(COUNTIF(PH!$A:$A,D$16)&gt;0,"PH",
IF(AND(SUMPRODUCT(($B$9:$AG$10=IFERROR(VLOOKUP($B27,'On call stat'!$S$3:$T$20,2,FALSE),""))*($B$3:$AG$3=D$16))&gt;0,OR(WEEKDAY(D$16,2)=6,),OR($B27="Chan, Man Wai",$B27="Ng Suet Ping, Yoko",$B27="Li Mui Ying",$B27="Lee Ka Po, Kathy",$B27="Huang Huanrao, Yoyo")),"HDAL",
IF(OR(WEEKDAY(D$16,2)=7,AND(WEEKDAY(D$16,2)=6,SUMPRODUCT(($B$9:$AG$10=IFERROR(VLOOKUP($B27,'On call stat'!$S$3:$T$20,2,FALSE),""))*($B$3:$AG$3=D$16))&gt;0)),"DO",
IF(SUMPRODUCT(($B$9:$AG$10=IFERROR(VLOOKUP($B27,'On call stat'!$S$3:$T$20,2,FALSE),""))*($B$3:$AG$3=D$16))&gt;0,"AL",
IF(WEEKDAY(D$16,2)=6,
IF($B27="Chan, Man Wai","HD",
IF($B27="Ng Suet Ping, Yoko","HD",
IF($B27="Li Mui Ying","HD1",
IF($B27="Huang Huanrao, Yoyo",IF(MOD(D$13,2)=1,"HD2",IFERROR(IF(SUMPRODUCT(($B$3:$AG$3=D$16)*($B$5:$AG$7=VLOOKUP($B27,'On call stat'!$S$3:$T$10,2,FALSE)))&gt;0,"D","DO"),"DO")),
IF($B27="Lee Ka Po, Kathy",IF(MOD(D$13,2)=0,"HD2",IFERROR(IF(SUMPRODUCT(($B$3:$AG$3=D$16)*($B$5:$AG$7=VLOOKUP($B27,'On call stat'!$S$3:$T$10,2,FALSE)))&gt;0,"D","DO"),"DO")),
IF($B27="Fan Hoi Wan, Ivy",IF(MOD(D$13,2)=0,"D",IFERROR(IF(SUMPRODUCT(($B$3:$AG$3=D$16)*($B$5:$AG$7=VLOOKUP($B27,'On call stat'!$S$3:$T$10,2,FALSE)))&gt;0,"D","DO"),"DO")),
IFERROR(IF(SUMPRODUCT(($B$3:$AG$3=D$16)*($B$5:$AG$7=VLOOKUP($B27,'On call stat'!$S$3:$T$10,2,FALSE)))&gt;0,"D","DO"),"DO"))))))),
IF($B27="Huang Huanrao, Yoyo",IF(MOD(D$13,2)=1,"D1","B6"),
IF($B27="Lee Ka Po, Kathy",IF(MOD(D$13,2)=0,"D1","B6"),
IFERROR(IF(SUMPRODUCT(($B$3:$AG$3=D$16)*($B$5:$AG$7=VLOOKUP($B27,'On call stat'!$S$3:$T$10,2,FALSE)))&gt;0,"E","D"),"D"))))))))</f>
        <v>B6</v>
      </c>
      <c r="E27" s="40" t="str">
        <f>IF(COUNTIF(PH!$A:$A,E$16)&gt;0,"PH",
IF(AND(SUMPRODUCT(($B$9:$AG$10=IFERROR(VLOOKUP($B27,'On call stat'!$S$3:$T$20,2,FALSE),""))*($B$3:$AG$3=E$16))&gt;0,OR(WEEKDAY(E$16,2)=6,),OR($B27="Chan, Man Wai",$B27="Ng Suet Ping, Yoko",$B27="Li Mui Ying",$B27="Lee Ka Po, Kathy",$B27="Huang Huanrao, Yoyo")),"HDAL",
IF(OR(WEEKDAY(E$16,2)=7,AND(WEEKDAY(E$16,2)=6,SUMPRODUCT(($B$9:$AG$10=IFERROR(VLOOKUP($B27,'On call stat'!$S$3:$T$20,2,FALSE),""))*($B$3:$AG$3=E$16))&gt;0)),"DO",
IF(SUMPRODUCT(($B$9:$AG$10=IFERROR(VLOOKUP($B27,'On call stat'!$S$3:$T$20,2,FALSE),""))*($B$3:$AG$3=E$16))&gt;0,"AL",
IF(WEEKDAY(E$16,2)=6,
IF($B27="Chan, Man Wai","HD",
IF($B27="Ng Suet Ping, Yoko","HD",
IF($B27="Li Mui Ying","HD1",
IF($B27="Huang Huanrao, Yoyo",IF(MOD(E$13,2)=1,"HD2",IFERROR(IF(SUMPRODUCT(($B$3:$AG$3=E$16)*($B$5:$AG$7=VLOOKUP($B27,'On call stat'!$S$3:$T$10,2,FALSE)))&gt;0,"D","DO"),"DO")),
IF($B27="Lee Ka Po, Kathy",IF(MOD(E$13,2)=0,"HD2",IFERROR(IF(SUMPRODUCT(($B$3:$AG$3=E$16)*($B$5:$AG$7=VLOOKUP($B27,'On call stat'!$S$3:$T$10,2,FALSE)))&gt;0,"D","DO"),"DO")),
IF($B27="Fan Hoi Wan, Ivy",IF(MOD(E$13,2)=0,"D",IFERROR(IF(SUMPRODUCT(($B$3:$AG$3=E$16)*($B$5:$AG$7=VLOOKUP($B27,'On call stat'!$S$3:$T$10,2,FALSE)))&gt;0,"D","DO"),"DO")),
IFERROR(IF(SUMPRODUCT(($B$3:$AG$3=E$16)*($B$5:$AG$7=VLOOKUP($B27,'On call stat'!$S$3:$T$10,2,FALSE)))&gt;0,"D","DO"),"DO"))))))),
IF($B27="Huang Huanrao, Yoyo",IF(MOD(E$13,2)=1,"D1","B6"),
IF($B27="Lee Ka Po, Kathy",IF(MOD(E$13,2)=0,"D1","B6"),
IFERROR(IF(SUMPRODUCT(($B$3:$AG$3=E$16)*($B$5:$AG$7=VLOOKUP($B27,'On call stat'!$S$3:$T$10,2,FALSE)))&gt;0,"E","D"),"D"))))))))</f>
        <v>B6</v>
      </c>
      <c r="F27" s="40" t="str">
        <f>IF(COUNTIF(PH!$A:$A,F$16)&gt;0,"PH",
IF(AND(SUMPRODUCT(($B$9:$AG$10=IFERROR(VLOOKUP($B27,'On call stat'!$S$3:$T$20,2,FALSE),""))*($B$3:$AG$3=F$16))&gt;0,OR(WEEKDAY(F$16,2)=6,),OR($B27="Chan, Man Wai",$B27="Ng Suet Ping, Yoko",$B27="Li Mui Ying",$B27="Lee Ka Po, Kathy",$B27="Huang Huanrao, Yoyo")),"HDAL",
IF(OR(WEEKDAY(F$16,2)=7,AND(WEEKDAY(F$16,2)=6,SUMPRODUCT(($B$9:$AG$10=IFERROR(VLOOKUP($B27,'On call stat'!$S$3:$T$20,2,FALSE),""))*($B$3:$AG$3=F$16))&gt;0)),"DO",
IF(SUMPRODUCT(($B$9:$AG$10=IFERROR(VLOOKUP($B27,'On call stat'!$S$3:$T$20,2,FALSE),""))*($B$3:$AG$3=F$16))&gt;0,"AL",
IF(WEEKDAY(F$16,2)=6,
IF($B27="Chan, Man Wai","HD",
IF($B27="Ng Suet Ping, Yoko","HD",
IF($B27="Li Mui Ying","HD1",
IF($B27="Huang Huanrao, Yoyo",IF(MOD(F$13,2)=1,"HD2",IFERROR(IF(SUMPRODUCT(($B$3:$AG$3=F$16)*($B$5:$AG$7=VLOOKUP($B27,'On call stat'!$S$3:$T$10,2,FALSE)))&gt;0,"D","DO"),"DO")),
IF($B27="Lee Ka Po, Kathy",IF(MOD(F$13,2)=0,"HD2",IFERROR(IF(SUMPRODUCT(($B$3:$AG$3=F$16)*($B$5:$AG$7=VLOOKUP($B27,'On call stat'!$S$3:$T$10,2,FALSE)))&gt;0,"D","DO"),"DO")),
IF($B27="Fan Hoi Wan, Ivy",IF(MOD(F$13,2)=0,"D",IFERROR(IF(SUMPRODUCT(($B$3:$AG$3=F$16)*($B$5:$AG$7=VLOOKUP($B27,'On call stat'!$S$3:$T$10,2,FALSE)))&gt;0,"D","DO"),"DO")),
IFERROR(IF(SUMPRODUCT(($B$3:$AG$3=F$16)*($B$5:$AG$7=VLOOKUP($B27,'On call stat'!$S$3:$T$10,2,FALSE)))&gt;0,"D","DO"),"DO"))))))),
IF($B27="Huang Huanrao, Yoyo",IF(MOD(F$13,2)=1,"D1","B6"),
IF($B27="Lee Ka Po, Kathy",IF(MOD(F$13,2)=0,"D1","B6"),
IFERROR(IF(SUMPRODUCT(($B$3:$AG$3=F$16)*($B$5:$AG$7=VLOOKUP($B27,'On call stat'!$S$3:$T$10,2,FALSE)))&gt;0,"E","D"),"D"))))))))</f>
        <v>B6</v>
      </c>
      <c r="G27" s="40" t="str">
        <f>IF(COUNTIF(PH!$A:$A,G$16)&gt;0,"PH",
IF(AND(SUMPRODUCT(($B$9:$AG$10=IFERROR(VLOOKUP($B27,'On call stat'!$S$3:$T$20,2,FALSE),""))*($B$3:$AG$3=G$16))&gt;0,OR(WEEKDAY(G$16,2)=6,),OR($B27="Chan, Man Wai",$B27="Ng Suet Ping, Yoko",$B27="Li Mui Ying",$B27="Lee Ka Po, Kathy",$B27="Huang Huanrao, Yoyo")),"HDAL",
IF(OR(WEEKDAY(G$16,2)=7,AND(WEEKDAY(G$16,2)=6,SUMPRODUCT(($B$9:$AG$10=IFERROR(VLOOKUP($B27,'On call stat'!$S$3:$T$20,2,FALSE),""))*($B$3:$AG$3=G$16))&gt;0)),"DO",
IF(SUMPRODUCT(($B$9:$AG$10=IFERROR(VLOOKUP($B27,'On call stat'!$S$3:$T$20,2,FALSE),""))*($B$3:$AG$3=G$16))&gt;0,"AL",
IF(WEEKDAY(G$16,2)=6,
IF($B27="Chan, Man Wai","HD",
IF($B27="Ng Suet Ping, Yoko","HD",
IF($B27="Li Mui Ying","HD1",
IF($B27="Huang Huanrao, Yoyo",IF(MOD(G$13,2)=1,"HD2",IFERROR(IF(SUMPRODUCT(($B$3:$AG$3=G$16)*($B$5:$AG$7=VLOOKUP($B27,'On call stat'!$S$3:$T$10,2,FALSE)))&gt;0,"D","DO"),"DO")),
IF($B27="Lee Ka Po, Kathy",IF(MOD(G$13,2)=0,"HD2",IFERROR(IF(SUMPRODUCT(($B$3:$AG$3=G$16)*($B$5:$AG$7=VLOOKUP($B27,'On call stat'!$S$3:$T$10,2,FALSE)))&gt;0,"D","DO"),"DO")),
IF($B27="Fan Hoi Wan, Ivy",IF(MOD(G$13,2)=0,"D",IFERROR(IF(SUMPRODUCT(($B$3:$AG$3=G$16)*($B$5:$AG$7=VLOOKUP($B27,'On call stat'!$S$3:$T$10,2,FALSE)))&gt;0,"D","DO"),"DO")),
IFERROR(IF(SUMPRODUCT(($B$3:$AG$3=G$16)*($B$5:$AG$7=VLOOKUP($B27,'On call stat'!$S$3:$T$10,2,FALSE)))&gt;0,"D","DO"),"DO"))))))),
IF($B27="Huang Huanrao, Yoyo",IF(MOD(G$13,2)=1,"D1","B6"),
IF($B27="Lee Ka Po, Kathy",IF(MOD(G$13,2)=0,"D1","B6"),
IFERROR(IF(SUMPRODUCT(($B$3:$AG$3=G$16)*($B$5:$AG$7=VLOOKUP($B27,'On call stat'!$S$3:$T$10,2,FALSE)))&gt;0,"E","D"),"D"))))))))</f>
        <v>HD2</v>
      </c>
      <c r="H27" s="40" t="str">
        <f>IF(COUNTIF(PH!$A:$A,H$16)&gt;0,"PH",
IF(AND(SUMPRODUCT(($B$9:$AG$10=IFERROR(VLOOKUP($B27,'On call stat'!$S$3:$T$20,2,FALSE),""))*($B$3:$AG$3=H$16))&gt;0,OR(WEEKDAY(H$16,2)=6,),OR($B27="Chan, Man Wai",$B27="Ng Suet Ping, Yoko",$B27="Li Mui Ying",$B27="Lee Ka Po, Kathy",$B27="Huang Huanrao, Yoyo")),"HDAL",
IF(OR(WEEKDAY(H$16,2)=7,AND(WEEKDAY(H$16,2)=6,SUMPRODUCT(($B$9:$AG$10=IFERROR(VLOOKUP($B27,'On call stat'!$S$3:$T$20,2,FALSE),""))*($B$3:$AG$3=H$16))&gt;0)),"DO",
IF(SUMPRODUCT(($B$9:$AG$10=IFERROR(VLOOKUP($B27,'On call stat'!$S$3:$T$20,2,FALSE),""))*($B$3:$AG$3=H$16))&gt;0,"AL",
IF(WEEKDAY(H$16,2)=6,
IF($B27="Chan, Man Wai","HD",
IF($B27="Ng Suet Ping, Yoko","HD",
IF($B27="Li Mui Ying","HD1",
IF($B27="Huang Huanrao, Yoyo",IF(MOD(H$13,2)=1,"HD2",IFERROR(IF(SUMPRODUCT(($B$3:$AG$3=H$16)*($B$5:$AG$7=VLOOKUP($B27,'On call stat'!$S$3:$T$10,2,FALSE)))&gt;0,"D","DO"),"DO")),
IF($B27="Lee Ka Po, Kathy",IF(MOD(H$13,2)=0,"HD2",IFERROR(IF(SUMPRODUCT(($B$3:$AG$3=H$16)*($B$5:$AG$7=VLOOKUP($B27,'On call stat'!$S$3:$T$10,2,FALSE)))&gt;0,"D","DO"),"DO")),
IF($B27="Fan Hoi Wan, Ivy",IF(MOD(H$13,2)=0,"D",IFERROR(IF(SUMPRODUCT(($B$3:$AG$3=H$16)*($B$5:$AG$7=VLOOKUP($B27,'On call stat'!$S$3:$T$10,2,FALSE)))&gt;0,"D","DO"),"DO")),
IFERROR(IF(SUMPRODUCT(($B$3:$AG$3=H$16)*($B$5:$AG$7=VLOOKUP($B27,'On call stat'!$S$3:$T$10,2,FALSE)))&gt;0,"D","DO"),"DO"))))))),
IF($B27="Huang Huanrao, Yoyo",IF(MOD(H$13,2)=1,"D1","B6"),
IF($B27="Lee Ka Po, Kathy",IF(MOD(H$13,2)=0,"D1","B6"),
IFERROR(IF(SUMPRODUCT(($B$3:$AG$3=H$16)*($B$5:$AG$7=VLOOKUP($B27,'On call stat'!$S$3:$T$10,2,FALSE)))&gt;0,"E","D"),"D"))))))))</f>
        <v>DO</v>
      </c>
      <c r="I27" s="40" t="str">
        <f>IF(COUNTIF(PH!$A:$A,I$16)&gt;0,"PH",
IF(AND(SUMPRODUCT(($B$9:$AG$10=IFERROR(VLOOKUP($B27,'On call stat'!$S$3:$T$20,2,FALSE),""))*($B$3:$AG$3=I$16))&gt;0,OR(WEEKDAY(I$16,2)=6,),OR($B27="Chan, Man Wai",$B27="Ng Suet Ping, Yoko",$B27="Li Mui Ying",$B27="Lee Ka Po, Kathy",$B27="Huang Huanrao, Yoyo")),"HDAL",
IF(OR(WEEKDAY(I$16,2)=7,AND(WEEKDAY(I$16,2)=6,SUMPRODUCT(($B$9:$AG$10=IFERROR(VLOOKUP($B27,'On call stat'!$S$3:$T$20,2,FALSE),""))*($B$3:$AG$3=I$16))&gt;0)),"DO",
IF(SUMPRODUCT(($B$9:$AG$10=IFERROR(VLOOKUP($B27,'On call stat'!$S$3:$T$20,2,FALSE),""))*($B$3:$AG$3=I$16))&gt;0,"AL",
IF(WEEKDAY(I$16,2)=6,
IF($B27="Chan, Man Wai","HD",
IF($B27="Ng Suet Ping, Yoko","HD",
IF($B27="Li Mui Ying","HD1",
IF($B27="Huang Huanrao, Yoyo",IF(MOD(I$13,2)=1,"HD2",IFERROR(IF(SUMPRODUCT(($B$3:$AG$3=I$16)*($B$5:$AG$7=VLOOKUP($B27,'On call stat'!$S$3:$T$10,2,FALSE)))&gt;0,"D","DO"),"DO")),
IF($B27="Lee Ka Po, Kathy",IF(MOD(I$13,2)=0,"HD2",IFERROR(IF(SUMPRODUCT(($B$3:$AG$3=I$16)*($B$5:$AG$7=VLOOKUP($B27,'On call stat'!$S$3:$T$10,2,FALSE)))&gt;0,"D","DO"),"DO")),
IF($B27="Fan Hoi Wan, Ivy",IF(MOD(I$13,2)=0,"D",IFERROR(IF(SUMPRODUCT(($B$3:$AG$3=I$16)*($B$5:$AG$7=VLOOKUP($B27,'On call stat'!$S$3:$T$10,2,FALSE)))&gt;0,"D","DO"),"DO")),
IFERROR(IF(SUMPRODUCT(($B$3:$AG$3=I$16)*($B$5:$AG$7=VLOOKUP($B27,'On call stat'!$S$3:$T$10,2,FALSE)))&gt;0,"D","DO"),"DO"))))))),
IF($B27="Huang Huanrao, Yoyo",IF(MOD(I$13,2)=1,"D1","B6"),
IF($B27="Lee Ka Po, Kathy",IF(MOD(I$13,2)=0,"D1","B6"),
IFERROR(IF(SUMPRODUCT(($B$3:$AG$3=I$16)*($B$5:$AG$7=VLOOKUP($B27,'On call stat'!$S$3:$T$10,2,FALSE)))&gt;0,"E","D"),"D"))))))))</f>
        <v>B6</v>
      </c>
      <c r="J27" s="40" t="str">
        <f>IF(COUNTIF(PH!$A:$A,J$16)&gt;0,"PH",
IF(AND(SUMPRODUCT(($B$9:$AG$10=IFERROR(VLOOKUP($B27,'On call stat'!$S$3:$T$20,2,FALSE),""))*($B$3:$AG$3=J$16))&gt;0,OR(WEEKDAY(J$16,2)=6,),OR($B27="Chan, Man Wai",$B27="Ng Suet Ping, Yoko",$B27="Li Mui Ying",$B27="Lee Ka Po, Kathy",$B27="Huang Huanrao, Yoyo")),"HDAL",
IF(OR(WEEKDAY(J$16,2)=7,AND(WEEKDAY(J$16,2)=6,SUMPRODUCT(($B$9:$AG$10=IFERROR(VLOOKUP($B27,'On call stat'!$S$3:$T$20,2,FALSE),""))*($B$3:$AG$3=J$16))&gt;0)),"DO",
IF(SUMPRODUCT(($B$9:$AG$10=IFERROR(VLOOKUP($B27,'On call stat'!$S$3:$T$20,2,FALSE),""))*($B$3:$AG$3=J$16))&gt;0,"AL",
IF(WEEKDAY(J$16,2)=6,
IF($B27="Chan, Man Wai","HD",
IF($B27="Ng Suet Ping, Yoko","HD",
IF($B27="Li Mui Ying","HD1",
IF($B27="Huang Huanrao, Yoyo",IF(MOD(J$13,2)=1,"HD2",IFERROR(IF(SUMPRODUCT(($B$3:$AG$3=J$16)*($B$5:$AG$7=VLOOKUP($B27,'On call stat'!$S$3:$T$10,2,FALSE)))&gt;0,"D","DO"),"DO")),
IF($B27="Lee Ka Po, Kathy",IF(MOD(J$13,2)=0,"HD2",IFERROR(IF(SUMPRODUCT(($B$3:$AG$3=J$16)*($B$5:$AG$7=VLOOKUP($B27,'On call stat'!$S$3:$T$10,2,FALSE)))&gt;0,"D","DO"),"DO")),
IF($B27="Fan Hoi Wan, Ivy",IF(MOD(J$13,2)=0,"D",IFERROR(IF(SUMPRODUCT(($B$3:$AG$3=J$16)*($B$5:$AG$7=VLOOKUP($B27,'On call stat'!$S$3:$T$10,2,FALSE)))&gt;0,"D","DO"),"DO")),
IFERROR(IF(SUMPRODUCT(($B$3:$AG$3=J$16)*($B$5:$AG$7=VLOOKUP($B27,'On call stat'!$S$3:$T$10,2,FALSE)))&gt;0,"D","DO"),"DO"))))))),
IF($B27="Huang Huanrao, Yoyo",IF(MOD(J$13,2)=1,"D1","B6"),
IF($B27="Lee Ka Po, Kathy",IF(MOD(J$13,2)=0,"D1","B6"),
IFERROR(IF(SUMPRODUCT(($B$3:$AG$3=J$16)*($B$5:$AG$7=VLOOKUP($B27,'On call stat'!$S$3:$T$10,2,FALSE)))&gt;0,"E","D"),"D"))))))))</f>
        <v>B6</v>
      </c>
      <c r="K27" s="40" t="str">
        <f>IF(COUNTIF(PH!$A:$A,K$16)&gt;0,"PH",
IF(AND(SUMPRODUCT(($B$9:$AG$10=IFERROR(VLOOKUP($B27,'On call stat'!$S$3:$T$20,2,FALSE),""))*($B$3:$AG$3=K$16))&gt;0,OR(WEEKDAY(K$16,2)=6,),OR($B27="Chan, Man Wai",$B27="Ng Suet Ping, Yoko",$B27="Li Mui Ying",$B27="Lee Ka Po, Kathy",$B27="Huang Huanrao, Yoyo")),"HDAL",
IF(OR(WEEKDAY(K$16,2)=7,AND(WEEKDAY(K$16,2)=6,SUMPRODUCT(($B$9:$AG$10=IFERROR(VLOOKUP($B27,'On call stat'!$S$3:$T$20,2,FALSE),""))*($B$3:$AG$3=K$16))&gt;0)),"DO",
IF(SUMPRODUCT(($B$9:$AG$10=IFERROR(VLOOKUP($B27,'On call stat'!$S$3:$T$20,2,FALSE),""))*($B$3:$AG$3=K$16))&gt;0,"AL",
IF(WEEKDAY(K$16,2)=6,
IF($B27="Chan, Man Wai","HD",
IF($B27="Ng Suet Ping, Yoko","HD",
IF($B27="Li Mui Ying","HD1",
IF($B27="Huang Huanrao, Yoyo",IF(MOD(K$13,2)=1,"HD2",IFERROR(IF(SUMPRODUCT(($B$3:$AG$3=K$16)*($B$5:$AG$7=VLOOKUP($B27,'On call stat'!$S$3:$T$10,2,FALSE)))&gt;0,"D","DO"),"DO")),
IF($B27="Lee Ka Po, Kathy",IF(MOD(K$13,2)=0,"HD2",IFERROR(IF(SUMPRODUCT(($B$3:$AG$3=K$16)*($B$5:$AG$7=VLOOKUP($B27,'On call stat'!$S$3:$T$10,2,FALSE)))&gt;0,"D","DO"),"DO")),
IF($B27="Fan Hoi Wan, Ivy",IF(MOD(K$13,2)=0,"D",IFERROR(IF(SUMPRODUCT(($B$3:$AG$3=K$16)*($B$5:$AG$7=VLOOKUP($B27,'On call stat'!$S$3:$T$10,2,FALSE)))&gt;0,"D","DO"),"DO")),
IFERROR(IF(SUMPRODUCT(($B$3:$AG$3=K$16)*($B$5:$AG$7=VLOOKUP($B27,'On call stat'!$S$3:$T$10,2,FALSE)))&gt;0,"D","DO"),"DO"))))))),
IF($B27="Huang Huanrao, Yoyo",IF(MOD(K$13,2)=1,"D1","B6"),
IF($B27="Lee Ka Po, Kathy",IF(MOD(K$13,2)=0,"D1","B6"),
IFERROR(IF(SUMPRODUCT(($B$3:$AG$3=K$16)*($B$5:$AG$7=VLOOKUP($B27,'On call stat'!$S$3:$T$10,2,FALSE)))&gt;0,"E","D"),"D"))))))))</f>
        <v>B6</v>
      </c>
      <c r="L27" s="40" t="str">
        <f>IF(COUNTIF(PH!$A:$A,L$16)&gt;0,"PH",
IF(AND(SUMPRODUCT(($B$9:$AG$10=IFERROR(VLOOKUP($B27,'On call stat'!$S$3:$T$20,2,FALSE),""))*($B$3:$AG$3=L$16))&gt;0,OR(WEEKDAY(L$16,2)=6,),OR($B27="Chan, Man Wai",$B27="Ng Suet Ping, Yoko",$B27="Li Mui Ying",$B27="Lee Ka Po, Kathy",$B27="Huang Huanrao, Yoyo")),"HDAL",
IF(OR(WEEKDAY(L$16,2)=7,AND(WEEKDAY(L$16,2)=6,SUMPRODUCT(($B$9:$AG$10=IFERROR(VLOOKUP($B27,'On call stat'!$S$3:$T$20,2,FALSE),""))*($B$3:$AG$3=L$16))&gt;0)),"DO",
IF(SUMPRODUCT(($B$9:$AG$10=IFERROR(VLOOKUP($B27,'On call stat'!$S$3:$T$20,2,FALSE),""))*($B$3:$AG$3=L$16))&gt;0,"AL",
IF(WEEKDAY(L$16,2)=6,
IF($B27="Chan, Man Wai","HD",
IF($B27="Ng Suet Ping, Yoko","HD",
IF($B27="Li Mui Ying","HD1",
IF($B27="Huang Huanrao, Yoyo",IF(MOD(L$13,2)=1,"HD2",IFERROR(IF(SUMPRODUCT(($B$3:$AG$3=L$16)*($B$5:$AG$7=VLOOKUP($B27,'On call stat'!$S$3:$T$10,2,FALSE)))&gt;0,"D","DO"),"DO")),
IF($B27="Lee Ka Po, Kathy",IF(MOD(L$13,2)=0,"HD2",IFERROR(IF(SUMPRODUCT(($B$3:$AG$3=L$16)*($B$5:$AG$7=VLOOKUP($B27,'On call stat'!$S$3:$T$10,2,FALSE)))&gt;0,"D","DO"),"DO")),
IF($B27="Fan Hoi Wan, Ivy",IF(MOD(L$13,2)=0,"D",IFERROR(IF(SUMPRODUCT(($B$3:$AG$3=L$16)*($B$5:$AG$7=VLOOKUP($B27,'On call stat'!$S$3:$T$10,2,FALSE)))&gt;0,"D","DO"),"DO")),
IFERROR(IF(SUMPRODUCT(($B$3:$AG$3=L$16)*($B$5:$AG$7=VLOOKUP($B27,'On call stat'!$S$3:$T$10,2,FALSE)))&gt;0,"D","DO"),"DO"))))))),
IF($B27="Huang Huanrao, Yoyo",IF(MOD(L$13,2)=1,"D1","B6"),
IF($B27="Lee Ka Po, Kathy",IF(MOD(L$13,2)=0,"D1","B6"),
IFERROR(IF(SUMPRODUCT(($B$3:$AG$3=L$16)*($B$5:$AG$7=VLOOKUP($B27,'On call stat'!$S$3:$T$10,2,FALSE)))&gt;0,"E","D"),"D"))))))))</f>
        <v>B6</v>
      </c>
      <c r="M27" s="40" t="str">
        <f>IF(COUNTIF(PH!$A:$A,M$16)&gt;0,"PH",
IF(AND(SUMPRODUCT(($B$9:$AG$10=IFERROR(VLOOKUP($B27,'On call stat'!$S$3:$T$20,2,FALSE),""))*($B$3:$AG$3=M$16))&gt;0,OR(WEEKDAY(M$16,2)=6,),OR($B27="Chan, Man Wai",$B27="Ng Suet Ping, Yoko",$B27="Li Mui Ying",$B27="Lee Ka Po, Kathy",$B27="Huang Huanrao, Yoyo")),"HDAL",
IF(OR(WEEKDAY(M$16,2)=7,AND(WEEKDAY(M$16,2)=6,SUMPRODUCT(($B$9:$AG$10=IFERROR(VLOOKUP($B27,'On call stat'!$S$3:$T$20,2,FALSE),""))*($B$3:$AG$3=M$16))&gt;0)),"DO",
IF(SUMPRODUCT(($B$9:$AG$10=IFERROR(VLOOKUP($B27,'On call stat'!$S$3:$T$20,2,FALSE),""))*($B$3:$AG$3=M$16))&gt;0,"AL",
IF(WEEKDAY(M$16,2)=6,
IF($B27="Chan, Man Wai","HD",
IF($B27="Ng Suet Ping, Yoko","HD",
IF($B27="Li Mui Ying","HD1",
IF($B27="Huang Huanrao, Yoyo",IF(MOD(M$13,2)=1,"HD2",IFERROR(IF(SUMPRODUCT(($B$3:$AG$3=M$16)*($B$5:$AG$7=VLOOKUP($B27,'On call stat'!$S$3:$T$10,2,FALSE)))&gt;0,"D","DO"),"DO")),
IF($B27="Lee Ka Po, Kathy",IF(MOD(M$13,2)=0,"HD2",IFERROR(IF(SUMPRODUCT(($B$3:$AG$3=M$16)*($B$5:$AG$7=VLOOKUP($B27,'On call stat'!$S$3:$T$10,2,FALSE)))&gt;0,"D","DO"),"DO")),
IF($B27="Fan Hoi Wan, Ivy",IF(MOD(M$13,2)=0,"D",IFERROR(IF(SUMPRODUCT(($B$3:$AG$3=M$16)*($B$5:$AG$7=VLOOKUP($B27,'On call stat'!$S$3:$T$10,2,FALSE)))&gt;0,"D","DO"),"DO")),
IFERROR(IF(SUMPRODUCT(($B$3:$AG$3=M$16)*($B$5:$AG$7=VLOOKUP($B27,'On call stat'!$S$3:$T$10,2,FALSE)))&gt;0,"D","DO"),"DO"))))))),
IF($B27="Huang Huanrao, Yoyo",IF(MOD(M$13,2)=1,"D1","B6"),
IF($B27="Lee Ka Po, Kathy",IF(MOD(M$13,2)=0,"D1","B6"),
IFERROR(IF(SUMPRODUCT(($B$3:$AG$3=M$16)*($B$5:$AG$7=VLOOKUP($B27,'On call stat'!$S$3:$T$10,2,FALSE)))&gt;0,"E","D"),"D"))))))))</f>
        <v>B6</v>
      </c>
      <c r="N27" s="40" t="str">
        <f>IF(COUNTIF(PH!$A:$A,N$16)&gt;0,"PH",
IF(AND(SUMPRODUCT(($B$9:$AG$10=IFERROR(VLOOKUP($B27,'On call stat'!$S$3:$T$20,2,FALSE),""))*($B$3:$AG$3=N$16))&gt;0,OR(WEEKDAY(N$16,2)=6,),OR($B27="Chan, Man Wai",$B27="Ng Suet Ping, Yoko",$B27="Li Mui Ying",$B27="Lee Ka Po, Kathy",$B27="Huang Huanrao, Yoyo")),"HDAL",
IF(OR(WEEKDAY(N$16,2)=7,AND(WEEKDAY(N$16,2)=6,SUMPRODUCT(($B$9:$AG$10=IFERROR(VLOOKUP($B27,'On call stat'!$S$3:$T$20,2,FALSE),""))*($B$3:$AG$3=N$16))&gt;0)),"DO",
IF(SUMPRODUCT(($B$9:$AG$10=IFERROR(VLOOKUP($B27,'On call stat'!$S$3:$T$20,2,FALSE),""))*($B$3:$AG$3=N$16))&gt;0,"AL",
IF(WEEKDAY(N$16,2)=6,
IF($B27="Chan, Man Wai","HD",
IF($B27="Ng Suet Ping, Yoko","HD",
IF($B27="Li Mui Ying","HD1",
IF($B27="Huang Huanrao, Yoyo",IF(MOD(N$13,2)=1,"HD2",IFERROR(IF(SUMPRODUCT(($B$3:$AG$3=N$16)*($B$5:$AG$7=VLOOKUP($B27,'On call stat'!$S$3:$T$10,2,FALSE)))&gt;0,"D","DO"),"DO")),
IF($B27="Lee Ka Po, Kathy",IF(MOD(N$13,2)=0,"HD2",IFERROR(IF(SUMPRODUCT(($B$3:$AG$3=N$16)*($B$5:$AG$7=VLOOKUP($B27,'On call stat'!$S$3:$T$10,2,FALSE)))&gt;0,"D","DO"),"DO")),
IF($B27="Fan Hoi Wan, Ivy",IF(MOD(N$13,2)=0,"D",IFERROR(IF(SUMPRODUCT(($B$3:$AG$3=N$16)*($B$5:$AG$7=VLOOKUP($B27,'On call stat'!$S$3:$T$10,2,FALSE)))&gt;0,"D","DO"),"DO")),
IFERROR(IF(SUMPRODUCT(($B$3:$AG$3=N$16)*($B$5:$AG$7=VLOOKUP($B27,'On call stat'!$S$3:$T$10,2,FALSE)))&gt;0,"D","DO"),"DO"))))))),
IF($B27="Huang Huanrao, Yoyo",IF(MOD(N$13,2)=1,"D1","B6"),
IF($B27="Lee Ka Po, Kathy",IF(MOD(N$13,2)=0,"D1","B6"),
IFERROR(IF(SUMPRODUCT(($B$3:$AG$3=N$16)*($B$5:$AG$7=VLOOKUP($B27,'On call stat'!$S$3:$T$10,2,FALSE)))&gt;0,"E","D"),"D"))))))))</f>
        <v>DO</v>
      </c>
      <c r="O27" s="40" t="str">
        <f>IF(COUNTIF(PH!$A:$A,O$16)&gt;0,"PH",
IF(AND(SUMPRODUCT(($B$9:$AG$10=IFERROR(VLOOKUP($B27,'On call stat'!$S$3:$T$20,2,FALSE),""))*($B$3:$AG$3=O$16))&gt;0,OR(WEEKDAY(O$16,2)=6,),OR($B27="Chan, Man Wai",$B27="Ng Suet Ping, Yoko",$B27="Li Mui Ying",$B27="Lee Ka Po, Kathy",$B27="Huang Huanrao, Yoyo")),"HDAL",
IF(OR(WEEKDAY(O$16,2)=7,AND(WEEKDAY(O$16,2)=6,SUMPRODUCT(($B$9:$AG$10=IFERROR(VLOOKUP($B27,'On call stat'!$S$3:$T$20,2,FALSE),""))*($B$3:$AG$3=O$16))&gt;0)),"DO",
IF(SUMPRODUCT(($B$9:$AG$10=IFERROR(VLOOKUP($B27,'On call stat'!$S$3:$T$20,2,FALSE),""))*($B$3:$AG$3=O$16))&gt;0,"AL",
IF(WEEKDAY(O$16,2)=6,
IF($B27="Chan, Man Wai","HD",
IF($B27="Ng Suet Ping, Yoko","HD",
IF($B27="Li Mui Ying","HD1",
IF($B27="Huang Huanrao, Yoyo",IF(MOD(O$13,2)=1,"HD2",IFERROR(IF(SUMPRODUCT(($B$3:$AG$3=O$16)*($B$5:$AG$7=VLOOKUP($B27,'On call stat'!$S$3:$T$10,2,FALSE)))&gt;0,"D","DO"),"DO")),
IF($B27="Lee Ka Po, Kathy",IF(MOD(O$13,2)=0,"HD2",IFERROR(IF(SUMPRODUCT(($B$3:$AG$3=O$16)*($B$5:$AG$7=VLOOKUP($B27,'On call stat'!$S$3:$T$10,2,FALSE)))&gt;0,"D","DO"),"DO")),
IF($B27="Fan Hoi Wan, Ivy",IF(MOD(O$13,2)=0,"D",IFERROR(IF(SUMPRODUCT(($B$3:$AG$3=O$16)*($B$5:$AG$7=VLOOKUP($B27,'On call stat'!$S$3:$T$10,2,FALSE)))&gt;0,"D","DO"),"DO")),
IFERROR(IF(SUMPRODUCT(($B$3:$AG$3=O$16)*($B$5:$AG$7=VLOOKUP($B27,'On call stat'!$S$3:$T$10,2,FALSE)))&gt;0,"D","DO"),"DO"))))))),
IF($B27="Huang Huanrao, Yoyo",IF(MOD(O$13,2)=1,"D1","B6"),
IF($B27="Lee Ka Po, Kathy",IF(MOD(O$13,2)=0,"D1","B6"),
IFERROR(IF(SUMPRODUCT(($B$3:$AG$3=O$16)*($B$5:$AG$7=VLOOKUP($B27,'On call stat'!$S$3:$T$10,2,FALSE)))&gt;0,"E","D"),"D"))))))))</f>
        <v>DO</v>
      </c>
      <c r="P27" s="40" t="str">
        <f>IF(COUNTIF(PH!$A:$A,P$16)&gt;0,"PH",
IF(AND(SUMPRODUCT(($B$9:$AG$10=IFERROR(VLOOKUP($B27,'On call stat'!$S$3:$T$20,2,FALSE),""))*($B$3:$AG$3=P$16))&gt;0,OR(WEEKDAY(P$16,2)=6,),OR($B27="Chan, Man Wai",$B27="Ng Suet Ping, Yoko",$B27="Li Mui Ying",$B27="Lee Ka Po, Kathy",$B27="Huang Huanrao, Yoyo")),"HDAL",
IF(OR(WEEKDAY(P$16,2)=7,AND(WEEKDAY(P$16,2)=6,SUMPRODUCT(($B$9:$AG$10=IFERROR(VLOOKUP($B27,'On call stat'!$S$3:$T$20,2,FALSE),""))*($B$3:$AG$3=P$16))&gt;0)),"DO",
IF(SUMPRODUCT(($B$9:$AG$10=IFERROR(VLOOKUP($B27,'On call stat'!$S$3:$T$20,2,FALSE),""))*($B$3:$AG$3=P$16))&gt;0,"AL",
IF(WEEKDAY(P$16,2)=6,
IF($B27="Chan, Man Wai","HD",
IF($B27="Ng Suet Ping, Yoko","HD",
IF($B27="Li Mui Ying","HD1",
IF($B27="Huang Huanrao, Yoyo",IF(MOD(P$13,2)=1,"HD2",IFERROR(IF(SUMPRODUCT(($B$3:$AG$3=P$16)*($B$5:$AG$7=VLOOKUP($B27,'On call stat'!$S$3:$T$10,2,FALSE)))&gt;0,"D","DO"),"DO")),
IF($B27="Lee Ka Po, Kathy",IF(MOD(P$13,2)=0,"HD2",IFERROR(IF(SUMPRODUCT(($B$3:$AG$3=P$16)*($B$5:$AG$7=VLOOKUP($B27,'On call stat'!$S$3:$T$10,2,FALSE)))&gt;0,"D","DO"),"DO")),
IF($B27="Fan Hoi Wan, Ivy",IF(MOD(P$13,2)=0,"D",IFERROR(IF(SUMPRODUCT(($B$3:$AG$3=P$16)*($B$5:$AG$7=VLOOKUP($B27,'On call stat'!$S$3:$T$10,2,FALSE)))&gt;0,"D","DO"),"DO")),
IFERROR(IF(SUMPRODUCT(($B$3:$AG$3=P$16)*($B$5:$AG$7=VLOOKUP($B27,'On call stat'!$S$3:$T$10,2,FALSE)))&gt;0,"D","DO"),"DO"))))))),
IF($B27="Huang Huanrao, Yoyo",IF(MOD(P$13,2)=1,"D1","B6"),
IF($B27="Lee Ka Po, Kathy",IF(MOD(P$13,2)=0,"D1","B6"),
IFERROR(IF(SUMPRODUCT(($B$3:$AG$3=P$16)*($B$5:$AG$7=VLOOKUP($B27,'On call stat'!$S$3:$T$10,2,FALSE)))&gt;0,"E","D"),"D"))))))))</f>
        <v>B6</v>
      </c>
      <c r="Q27" s="40" t="str">
        <f>IF(COUNTIF(PH!$A:$A,Q$16)&gt;0,"PH",
IF(AND(SUMPRODUCT(($B$9:$AG$10=IFERROR(VLOOKUP($B27,'On call stat'!$S$3:$T$20,2,FALSE),""))*($B$3:$AG$3=Q$16))&gt;0,OR(WEEKDAY(Q$16,2)=6,),OR($B27="Chan, Man Wai",$B27="Ng Suet Ping, Yoko",$B27="Li Mui Ying",$B27="Lee Ka Po, Kathy",$B27="Huang Huanrao, Yoyo")),"HDAL",
IF(OR(WEEKDAY(Q$16,2)=7,AND(WEEKDAY(Q$16,2)=6,SUMPRODUCT(($B$9:$AG$10=IFERROR(VLOOKUP($B27,'On call stat'!$S$3:$T$20,2,FALSE),""))*($B$3:$AG$3=Q$16))&gt;0)),"DO",
IF(SUMPRODUCT(($B$9:$AG$10=IFERROR(VLOOKUP($B27,'On call stat'!$S$3:$T$20,2,FALSE),""))*($B$3:$AG$3=Q$16))&gt;0,"AL",
IF(WEEKDAY(Q$16,2)=6,
IF($B27="Chan, Man Wai","HD",
IF($B27="Ng Suet Ping, Yoko","HD",
IF($B27="Li Mui Ying","HD1",
IF($B27="Huang Huanrao, Yoyo",IF(MOD(Q$13,2)=1,"HD2",IFERROR(IF(SUMPRODUCT(($B$3:$AG$3=Q$16)*($B$5:$AG$7=VLOOKUP($B27,'On call stat'!$S$3:$T$10,2,FALSE)))&gt;0,"D","DO"),"DO")),
IF($B27="Lee Ka Po, Kathy",IF(MOD(Q$13,2)=0,"HD2",IFERROR(IF(SUMPRODUCT(($B$3:$AG$3=Q$16)*($B$5:$AG$7=VLOOKUP($B27,'On call stat'!$S$3:$T$10,2,FALSE)))&gt;0,"D","DO"),"DO")),
IF($B27="Fan Hoi Wan, Ivy",IF(MOD(Q$13,2)=0,"D",IFERROR(IF(SUMPRODUCT(($B$3:$AG$3=Q$16)*($B$5:$AG$7=VLOOKUP($B27,'On call stat'!$S$3:$T$10,2,FALSE)))&gt;0,"D","DO"),"DO")),
IFERROR(IF(SUMPRODUCT(($B$3:$AG$3=Q$16)*($B$5:$AG$7=VLOOKUP($B27,'On call stat'!$S$3:$T$10,2,FALSE)))&gt;0,"D","DO"),"DO"))))))),
IF($B27="Huang Huanrao, Yoyo",IF(MOD(Q$13,2)=1,"D1","B6"),
IF($B27="Lee Ka Po, Kathy",IF(MOD(Q$13,2)=0,"D1","B6"),
IFERROR(IF(SUMPRODUCT(($B$3:$AG$3=Q$16)*($B$5:$AG$7=VLOOKUP($B27,'On call stat'!$S$3:$T$10,2,FALSE)))&gt;0,"E","D"),"D"))))))))</f>
        <v>B6</v>
      </c>
      <c r="R27" s="40" t="str">
        <f>IF(COUNTIF(PH!$A:$A,R$16)&gt;0,"PH",
IF(AND(SUMPRODUCT(($B$9:$AG$10=IFERROR(VLOOKUP($B27,'On call stat'!$S$3:$T$20,2,FALSE),""))*($B$3:$AG$3=R$16))&gt;0,OR(WEEKDAY(R$16,2)=6,),OR($B27="Chan, Man Wai",$B27="Ng Suet Ping, Yoko",$B27="Li Mui Ying",$B27="Lee Ka Po, Kathy",$B27="Huang Huanrao, Yoyo")),"HDAL",
IF(OR(WEEKDAY(R$16,2)=7,AND(WEEKDAY(R$16,2)=6,SUMPRODUCT(($B$9:$AG$10=IFERROR(VLOOKUP($B27,'On call stat'!$S$3:$T$20,2,FALSE),""))*($B$3:$AG$3=R$16))&gt;0)),"DO",
IF(SUMPRODUCT(($B$9:$AG$10=IFERROR(VLOOKUP($B27,'On call stat'!$S$3:$T$20,2,FALSE),""))*($B$3:$AG$3=R$16))&gt;0,"AL",
IF(WEEKDAY(R$16,2)=6,
IF($B27="Chan, Man Wai","HD",
IF($B27="Ng Suet Ping, Yoko","HD",
IF($B27="Li Mui Ying","HD1",
IF($B27="Huang Huanrao, Yoyo",IF(MOD(R$13,2)=1,"HD2",IFERROR(IF(SUMPRODUCT(($B$3:$AG$3=R$16)*($B$5:$AG$7=VLOOKUP($B27,'On call stat'!$S$3:$T$10,2,FALSE)))&gt;0,"D","DO"),"DO")),
IF($B27="Lee Ka Po, Kathy",IF(MOD(R$13,2)=0,"HD2",IFERROR(IF(SUMPRODUCT(($B$3:$AG$3=R$16)*($B$5:$AG$7=VLOOKUP($B27,'On call stat'!$S$3:$T$10,2,FALSE)))&gt;0,"D","DO"),"DO")),
IF($B27="Fan Hoi Wan, Ivy",IF(MOD(R$13,2)=0,"D",IFERROR(IF(SUMPRODUCT(($B$3:$AG$3=R$16)*($B$5:$AG$7=VLOOKUP($B27,'On call stat'!$S$3:$T$10,2,FALSE)))&gt;0,"D","DO"),"DO")),
IFERROR(IF(SUMPRODUCT(($B$3:$AG$3=R$16)*($B$5:$AG$7=VLOOKUP($B27,'On call stat'!$S$3:$T$10,2,FALSE)))&gt;0,"D","DO"),"DO"))))))),
IF($B27="Huang Huanrao, Yoyo",IF(MOD(R$13,2)=1,"D1","B6"),
IF($B27="Lee Ka Po, Kathy",IF(MOD(R$13,2)=0,"D1","B6"),
IFERROR(IF(SUMPRODUCT(($B$3:$AG$3=R$16)*($B$5:$AG$7=VLOOKUP($B27,'On call stat'!$S$3:$T$10,2,FALSE)))&gt;0,"E","D"),"D"))))))))</f>
        <v>B6</v>
      </c>
      <c r="S27" s="40" t="str">
        <f>IF(COUNTIF(PH!$A:$A,S$16)&gt;0,"PH",
IF(AND(SUMPRODUCT(($B$9:$AG$10=IFERROR(VLOOKUP($B27,'On call stat'!$S$3:$T$20,2,FALSE),""))*($B$3:$AG$3=S$16))&gt;0,OR(WEEKDAY(S$16,2)=6,),OR($B27="Chan, Man Wai",$B27="Ng Suet Ping, Yoko",$B27="Li Mui Ying",$B27="Lee Ka Po, Kathy",$B27="Huang Huanrao, Yoyo")),"HDAL",
IF(OR(WEEKDAY(S$16,2)=7,AND(WEEKDAY(S$16,2)=6,SUMPRODUCT(($B$9:$AG$10=IFERROR(VLOOKUP($B27,'On call stat'!$S$3:$T$20,2,FALSE),""))*($B$3:$AG$3=S$16))&gt;0)),"DO",
IF(SUMPRODUCT(($B$9:$AG$10=IFERROR(VLOOKUP($B27,'On call stat'!$S$3:$T$20,2,FALSE),""))*($B$3:$AG$3=S$16))&gt;0,"AL",
IF(WEEKDAY(S$16,2)=6,
IF($B27="Chan, Man Wai","HD",
IF($B27="Ng Suet Ping, Yoko","HD",
IF($B27="Li Mui Ying","HD1",
IF($B27="Huang Huanrao, Yoyo",IF(MOD(S$13,2)=1,"HD2",IFERROR(IF(SUMPRODUCT(($B$3:$AG$3=S$16)*($B$5:$AG$7=VLOOKUP($B27,'On call stat'!$S$3:$T$10,2,FALSE)))&gt;0,"D","DO"),"DO")),
IF($B27="Lee Ka Po, Kathy",IF(MOD(S$13,2)=0,"HD2",IFERROR(IF(SUMPRODUCT(($B$3:$AG$3=S$16)*($B$5:$AG$7=VLOOKUP($B27,'On call stat'!$S$3:$T$10,2,FALSE)))&gt;0,"D","DO"),"DO")),
IF($B27="Fan Hoi Wan, Ivy",IF(MOD(S$13,2)=0,"D",IFERROR(IF(SUMPRODUCT(($B$3:$AG$3=S$16)*($B$5:$AG$7=VLOOKUP($B27,'On call stat'!$S$3:$T$10,2,FALSE)))&gt;0,"D","DO"),"DO")),
IFERROR(IF(SUMPRODUCT(($B$3:$AG$3=S$16)*($B$5:$AG$7=VLOOKUP($B27,'On call stat'!$S$3:$T$10,2,FALSE)))&gt;0,"D","DO"),"DO"))))))),
IF($B27="Huang Huanrao, Yoyo",IF(MOD(S$13,2)=1,"D1","B6"),
IF($B27="Lee Ka Po, Kathy",IF(MOD(S$13,2)=0,"D1","B6"),
IFERROR(IF(SUMPRODUCT(($B$3:$AG$3=S$16)*($B$5:$AG$7=VLOOKUP($B27,'On call stat'!$S$3:$T$10,2,FALSE)))&gt;0,"E","D"),"D"))))))))</f>
        <v>B6</v>
      </c>
      <c r="T27" s="40" t="str">
        <f>IF(COUNTIF(PH!$A:$A,T$16)&gt;0,"PH",
IF(AND(SUMPRODUCT(($B$9:$AG$10=IFERROR(VLOOKUP($B27,'On call stat'!$S$3:$T$20,2,FALSE),""))*($B$3:$AG$3=T$16))&gt;0,OR(WEEKDAY(T$16,2)=6,),OR($B27="Chan, Man Wai",$B27="Ng Suet Ping, Yoko",$B27="Li Mui Ying",$B27="Lee Ka Po, Kathy",$B27="Huang Huanrao, Yoyo")),"HDAL",
IF(OR(WEEKDAY(T$16,2)=7,AND(WEEKDAY(T$16,2)=6,SUMPRODUCT(($B$9:$AG$10=IFERROR(VLOOKUP($B27,'On call stat'!$S$3:$T$20,2,FALSE),""))*($B$3:$AG$3=T$16))&gt;0)),"DO",
IF(SUMPRODUCT(($B$9:$AG$10=IFERROR(VLOOKUP($B27,'On call stat'!$S$3:$T$20,2,FALSE),""))*($B$3:$AG$3=T$16))&gt;0,"AL",
IF(WEEKDAY(T$16,2)=6,
IF($B27="Chan, Man Wai","HD",
IF($B27="Ng Suet Ping, Yoko","HD",
IF($B27="Li Mui Ying","HD1",
IF($B27="Huang Huanrao, Yoyo",IF(MOD(T$13,2)=1,"HD2",IFERROR(IF(SUMPRODUCT(($B$3:$AG$3=T$16)*($B$5:$AG$7=VLOOKUP($B27,'On call stat'!$S$3:$T$10,2,FALSE)))&gt;0,"D","DO"),"DO")),
IF($B27="Lee Ka Po, Kathy",IF(MOD(T$13,2)=0,"HD2",IFERROR(IF(SUMPRODUCT(($B$3:$AG$3=T$16)*($B$5:$AG$7=VLOOKUP($B27,'On call stat'!$S$3:$T$10,2,FALSE)))&gt;0,"D","DO"),"DO")),
IF($B27="Fan Hoi Wan, Ivy",IF(MOD(T$13,2)=0,"D",IFERROR(IF(SUMPRODUCT(($B$3:$AG$3=T$16)*($B$5:$AG$7=VLOOKUP($B27,'On call stat'!$S$3:$T$10,2,FALSE)))&gt;0,"D","DO"),"DO")),
IFERROR(IF(SUMPRODUCT(($B$3:$AG$3=T$16)*($B$5:$AG$7=VLOOKUP($B27,'On call stat'!$S$3:$T$10,2,FALSE)))&gt;0,"D","DO"),"DO"))))))),
IF($B27="Huang Huanrao, Yoyo",IF(MOD(T$13,2)=1,"D1","B6"),
IF($B27="Lee Ka Po, Kathy",IF(MOD(T$13,2)=0,"D1","B6"),
IFERROR(IF(SUMPRODUCT(($B$3:$AG$3=T$16)*($B$5:$AG$7=VLOOKUP($B27,'On call stat'!$S$3:$T$10,2,FALSE)))&gt;0,"E","D"),"D"))))))))</f>
        <v>B6</v>
      </c>
      <c r="U27" s="40" t="str">
        <f>IF(COUNTIF(PH!$A:$A,U$16)&gt;0,"PH",
IF(AND(SUMPRODUCT(($B$9:$AG$10=IFERROR(VLOOKUP($B27,'On call stat'!$S$3:$T$20,2,FALSE),""))*($B$3:$AG$3=U$16))&gt;0,OR(WEEKDAY(U$16,2)=6,),OR($B27="Chan, Man Wai",$B27="Ng Suet Ping, Yoko",$B27="Li Mui Ying",$B27="Lee Ka Po, Kathy",$B27="Huang Huanrao, Yoyo")),"HDAL",
IF(OR(WEEKDAY(U$16,2)=7,AND(WEEKDAY(U$16,2)=6,SUMPRODUCT(($B$9:$AG$10=IFERROR(VLOOKUP($B27,'On call stat'!$S$3:$T$20,2,FALSE),""))*($B$3:$AG$3=U$16))&gt;0)),"DO",
IF(SUMPRODUCT(($B$9:$AG$10=IFERROR(VLOOKUP($B27,'On call stat'!$S$3:$T$20,2,FALSE),""))*($B$3:$AG$3=U$16))&gt;0,"AL",
IF(WEEKDAY(U$16,2)=6,
IF($B27="Chan, Man Wai","HD",
IF($B27="Ng Suet Ping, Yoko","HD",
IF($B27="Li Mui Ying","HD1",
IF($B27="Huang Huanrao, Yoyo",IF(MOD(U$13,2)=1,"HD2",IFERROR(IF(SUMPRODUCT(($B$3:$AG$3=U$16)*($B$5:$AG$7=VLOOKUP($B27,'On call stat'!$S$3:$T$10,2,FALSE)))&gt;0,"D","DO"),"DO")),
IF($B27="Lee Ka Po, Kathy",IF(MOD(U$13,2)=0,"HD2",IFERROR(IF(SUMPRODUCT(($B$3:$AG$3=U$16)*($B$5:$AG$7=VLOOKUP($B27,'On call stat'!$S$3:$T$10,2,FALSE)))&gt;0,"D","DO"),"DO")),
IF($B27="Fan Hoi Wan, Ivy",IF(MOD(U$13,2)=0,"D",IFERROR(IF(SUMPRODUCT(($B$3:$AG$3=U$16)*($B$5:$AG$7=VLOOKUP($B27,'On call stat'!$S$3:$T$10,2,FALSE)))&gt;0,"D","DO"),"DO")),
IFERROR(IF(SUMPRODUCT(($B$3:$AG$3=U$16)*($B$5:$AG$7=VLOOKUP($B27,'On call stat'!$S$3:$T$10,2,FALSE)))&gt;0,"D","DO"),"DO"))))))),
IF($B27="Huang Huanrao, Yoyo",IF(MOD(U$13,2)=1,"D1","B6"),
IF($B27="Lee Ka Po, Kathy",IF(MOD(U$13,2)=0,"D1","B6"),
IFERROR(IF(SUMPRODUCT(($B$3:$AG$3=U$16)*($B$5:$AG$7=VLOOKUP($B27,'On call stat'!$S$3:$T$10,2,FALSE)))&gt;0,"E","D"),"D"))))))))</f>
        <v>HD2</v>
      </c>
      <c r="V27" s="40" t="str">
        <f>IF(COUNTIF(PH!$A:$A,V$16)&gt;0,"PH",
IF(AND(SUMPRODUCT(($B$9:$AG$10=IFERROR(VLOOKUP($B27,'On call stat'!$S$3:$T$20,2,FALSE),""))*($B$3:$AG$3=V$16))&gt;0,OR(WEEKDAY(V$16,2)=6,),OR($B27="Chan, Man Wai",$B27="Ng Suet Ping, Yoko",$B27="Li Mui Ying",$B27="Lee Ka Po, Kathy",$B27="Huang Huanrao, Yoyo")),"HDAL",
IF(OR(WEEKDAY(V$16,2)=7,AND(WEEKDAY(V$16,2)=6,SUMPRODUCT(($B$9:$AG$10=IFERROR(VLOOKUP($B27,'On call stat'!$S$3:$T$20,2,FALSE),""))*($B$3:$AG$3=V$16))&gt;0)),"DO",
IF(SUMPRODUCT(($B$9:$AG$10=IFERROR(VLOOKUP($B27,'On call stat'!$S$3:$T$20,2,FALSE),""))*($B$3:$AG$3=V$16))&gt;0,"AL",
IF(WEEKDAY(V$16,2)=6,
IF($B27="Chan, Man Wai","HD",
IF($B27="Ng Suet Ping, Yoko","HD",
IF($B27="Li Mui Ying","HD1",
IF($B27="Huang Huanrao, Yoyo",IF(MOD(V$13,2)=1,"HD2",IFERROR(IF(SUMPRODUCT(($B$3:$AG$3=V$16)*($B$5:$AG$7=VLOOKUP($B27,'On call stat'!$S$3:$T$10,2,FALSE)))&gt;0,"D","DO"),"DO")),
IF($B27="Lee Ka Po, Kathy",IF(MOD(V$13,2)=0,"HD2",IFERROR(IF(SUMPRODUCT(($B$3:$AG$3=V$16)*($B$5:$AG$7=VLOOKUP($B27,'On call stat'!$S$3:$T$10,2,FALSE)))&gt;0,"D","DO"),"DO")),
IF($B27="Fan Hoi Wan, Ivy",IF(MOD(V$13,2)=0,"D",IFERROR(IF(SUMPRODUCT(($B$3:$AG$3=V$16)*($B$5:$AG$7=VLOOKUP($B27,'On call stat'!$S$3:$T$10,2,FALSE)))&gt;0,"D","DO"),"DO")),
IFERROR(IF(SUMPRODUCT(($B$3:$AG$3=V$16)*($B$5:$AG$7=VLOOKUP($B27,'On call stat'!$S$3:$T$10,2,FALSE)))&gt;0,"D","DO"),"DO"))))))),
IF($B27="Huang Huanrao, Yoyo",IF(MOD(V$13,2)=1,"D1","B6"),
IF($B27="Lee Ka Po, Kathy",IF(MOD(V$13,2)=0,"D1","B6"),
IFERROR(IF(SUMPRODUCT(($B$3:$AG$3=V$16)*($B$5:$AG$7=VLOOKUP($B27,'On call stat'!$S$3:$T$10,2,FALSE)))&gt;0,"E","D"),"D"))))))))</f>
        <v>DO</v>
      </c>
      <c r="W27" s="40" t="str">
        <f>IF(COUNTIF(PH!$A:$A,W$16)&gt;0,"PH",
IF(AND(SUMPRODUCT(($B$9:$AG$10=IFERROR(VLOOKUP($B27,'On call stat'!$S$3:$T$20,2,FALSE),""))*($B$3:$AG$3=W$16))&gt;0,OR(WEEKDAY(W$16,2)=6,),OR($B27="Chan, Man Wai",$B27="Ng Suet Ping, Yoko",$B27="Li Mui Ying",$B27="Lee Ka Po, Kathy",$B27="Huang Huanrao, Yoyo")),"HDAL",
IF(OR(WEEKDAY(W$16,2)=7,AND(WEEKDAY(W$16,2)=6,SUMPRODUCT(($B$9:$AG$10=IFERROR(VLOOKUP($B27,'On call stat'!$S$3:$T$20,2,FALSE),""))*($B$3:$AG$3=W$16))&gt;0)),"DO",
IF(SUMPRODUCT(($B$9:$AG$10=IFERROR(VLOOKUP($B27,'On call stat'!$S$3:$T$20,2,FALSE),""))*($B$3:$AG$3=W$16))&gt;0,"AL",
IF(WEEKDAY(W$16,2)=6,
IF($B27="Chan, Man Wai","HD",
IF($B27="Ng Suet Ping, Yoko","HD",
IF($B27="Li Mui Ying","HD1",
IF($B27="Huang Huanrao, Yoyo",IF(MOD(W$13,2)=1,"HD2",IFERROR(IF(SUMPRODUCT(($B$3:$AG$3=W$16)*($B$5:$AG$7=VLOOKUP($B27,'On call stat'!$S$3:$T$10,2,FALSE)))&gt;0,"D","DO"),"DO")),
IF($B27="Lee Ka Po, Kathy",IF(MOD(W$13,2)=0,"HD2",IFERROR(IF(SUMPRODUCT(($B$3:$AG$3=W$16)*($B$5:$AG$7=VLOOKUP($B27,'On call stat'!$S$3:$T$10,2,FALSE)))&gt;0,"D","DO"),"DO")),
IF($B27="Fan Hoi Wan, Ivy",IF(MOD(W$13,2)=0,"D",IFERROR(IF(SUMPRODUCT(($B$3:$AG$3=W$16)*($B$5:$AG$7=VLOOKUP($B27,'On call stat'!$S$3:$T$10,2,FALSE)))&gt;0,"D","DO"),"DO")),
IFERROR(IF(SUMPRODUCT(($B$3:$AG$3=W$16)*($B$5:$AG$7=VLOOKUP($B27,'On call stat'!$S$3:$T$10,2,FALSE)))&gt;0,"D","DO"),"DO"))))))),
IF($B27="Huang Huanrao, Yoyo",IF(MOD(W$13,2)=1,"D1","B6"),
IF($B27="Lee Ka Po, Kathy",IF(MOD(W$13,2)=0,"D1","B6"),
IFERROR(IF(SUMPRODUCT(($B$3:$AG$3=W$16)*($B$5:$AG$7=VLOOKUP($B27,'On call stat'!$S$3:$T$10,2,FALSE)))&gt;0,"E","D"),"D"))))))))</f>
        <v>B6</v>
      </c>
      <c r="X27" s="40" t="str">
        <f>IF(COUNTIF(PH!$A:$A,X$16)&gt;0,"PH",
IF(AND(SUMPRODUCT(($B$9:$AG$10=IFERROR(VLOOKUP($B27,'On call stat'!$S$3:$T$20,2,FALSE),""))*($B$3:$AG$3=X$16))&gt;0,OR(WEEKDAY(X$16,2)=6,),OR($B27="Chan, Man Wai",$B27="Ng Suet Ping, Yoko",$B27="Li Mui Ying",$B27="Lee Ka Po, Kathy",$B27="Huang Huanrao, Yoyo")),"HDAL",
IF(OR(WEEKDAY(X$16,2)=7,AND(WEEKDAY(X$16,2)=6,SUMPRODUCT(($B$9:$AG$10=IFERROR(VLOOKUP($B27,'On call stat'!$S$3:$T$20,2,FALSE),""))*($B$3:$AG$3=X$16))&gt;0)),"DO",
IF(SUMPRODUCT(($B$9:$AG$10=IFERROR(VLOOKUP($B27,'On call stat'!$S$3:$T$20,2,FALSE),""))*($B$3:$AG$3=X$16))&gt;0,"AL",
IF(WEEKDAY(X$16,2)=6,
IF($B27="Chan, Man Wai","HD",
IF($B27="Ng Suet Ping, Yoko","HD",
IF($B27="Li Mui Ying","HD1",
IF($B27="Huang Huanrao, Yoyo",IF(MOD(X$13,2)=1,"HD2",IFERROR(IF(SUMPRODUCT(($B$3:$AG$3=X$16)*($B$5:$AG$7=VLOOKUP($B27,'On call stat'!$S$3:$T$10,2,FALSE)))&gt;0,"D","DO"),"DO")),
IF($B27="Lee Ka Po, Kathy",IF(MOD(X$13,2)=0,"HD2",IFERROR(IF(SUMPRODUCT(($B$3:$AG$3=X$16)*($B$5:$AG$7=VLOOKUP($B27,'On call stat'!$S$3:$T$10,2,FALSE)))&gt;0,"D","DO"),"DO")),
IF($B27="Fan Hoi Wan, Ivy",IF(MOD(X$13,2)=0,"D",IFERROR(IF(SUMPRODUCT(($B$3:$AG$3=X$16)*($B$5:$AG$7=VLOOKUP($B27,'On call stat'!$S$3:$T$10,2,FALSE)))&gt;0,"D","DO"),"DO")),
IFERROR(IF(SUMPRODUCT(($B$3:$AG$3=X$16)*($B$5:$AG$7=VLOOKUP($B27,'On call stat'!$S$3:$T$10,2,FALSE)))&gt;0,"D","DO"),"DO"))))))),
IF($B27="Huang Huanrao, Yoyo",IF(MOD(X$13,2)=1,"D1","B6"),
IF($B27="Lee Ka Po, Kathy",IF(MOD(X$13,2)=0,"D1","B6"),
IFERROR(IF(SUMPRODUCT(($B$3:$AG$3=X$16)*($B$5:$AG$7=VLOOKUP($B27,'On call stat'!$S$3:$T$10,2,FALSE)))&gt;0,"E","D"),"D"))))))))</f>
        <v>B6</v>
      </c>
      <c r="Y27" s="40" t="str">
        <f>IF(COUNTIF(PH!$A:$A,Y$16)&gt;0,"PH",
IF(AND(SUMPRODUCT(($B$9:$AG$10=IFERROR(VLOOKUP($B27,'On call stat'!$S$3:$T$20,2,FALSE),""))*($B$3:$AG$3=Y$16))&gt;0,OR(WEEKDAY(Y$16,2)=6,),OR($B27="Chan, Man Wai",$B27="Ng Suet Ping, Yoko",$B27="Li Mui Ying",$B27="Lee Ka Po, Kathy",$B27="Huang Huanrao, Yoyo")),"HDAL",
IF(OR(WEEKDAY(Y$16,2)=7,AND(WEEKDAY(Y$16,2)=6,SUMPRODUCT(($B$9:$AG$10=IFERROR(VLOOKUP($B27,'On call stat'!$S$3:$T$20,2,FALSE),""))*($B$3:$AG$3=Y$16))&gt;0)),"DO",
IF(SUMPRODUCT(($B$9:$AG$10=IFERROR(VLOOKUP($B27,'On call stat'!$S$3:$T$20,2,FALSE),""))*($B$3:$AG$3=Y$16))&gt;0,"AL",
IF(WEEKDAY(Y$16,2)=6,
IF($B27="Chan, Man Wai","HD",
IF($B27="Ng Suet Ping, Yoko","HD",
IF($B27="Li Mui Ying","HD1",
IF($B27="Huang Huanrao, Yoyo",IF(MOD(Y$13,2)=1,"HD2",IFERROR(IF(SUMPRODUCT(($B$3:$AG$3=Y$16)*($B$5:$AG$7=VLOOKUP($B27,'On call stat'!$S$3:$T$10,2,FALSE)))&gt;0,"D","DO"),"DO")),
IF($B27="Lee Ka Po, Kathy",IF(MOD(Y$13,2)=0,"HD2",IFERROR(IF(SUMPRODUCT(($B$3:$AG$3=Y$16)*($B$5:$AG$7=VLOOKUP($B27,'On call stat'!$S$3:$T$10,2,FALSE)))&gt;0,"D","DO"),"DO")),
IF($B27="Fan Hoi Wan, Ivy",IF(MOD(Y$13,2)=0,"D",IFERROR(IF(SUMPRODUCT(($B$3:$AG$3=Y$16)*($B$5:$AG$7=VLOOKUP($B27,'On call stat'!$S$3:$T$10,2,FALSE)))&gt;0,"D","DO"),"DO")),
IFERROR(IF(SUMPRODUCT(($B$3:$AG$3=Y$16)*($B$5:$AG$7=VLOOKUP($B27,'On call stat'!$S$3:$T$10,2,FALSE)))&gt;0,"D","DO"),"DO"))))))),
IF($B27="Huang Huanrao, Yoyo",IF(MOD(Y$13,2)=1,"D1","B6"),
IF($B27="Lee Ka Po, Kathy",IF(MOD(Y$13,2)=0,"D1","B6"),
IFERROR(IF(SUMPRODUCT(($B$3:$AG$3=Y$16)*($B$5:$AG$7=VLOOKUP($B27,'On call stat'!$S$3:$T$10,2,FALSE)))&gt;0,"E","D"),"D"))))))))</f>
        <v>B6</v>
      </c>
      <c r="Z27" s="40" t="str">
        <f>IF(COUNTIF(PH!$A:$A,Z$16)&gt;0,"PH",
IF(AND(SUMPRODUCT(($B$9:$AG$10=IFERROR(VLOOKUP($B27,'On call stat'!$S$3:$T$20,2,FALSE),""))*($B$3:$AG$3=Z$16))&gt;0,OR(WEEKDAY(Z$16,2)=6,),OR($B27="Chan, Man Wai",$B27="Ng Suet Ping, Yoko",$B27="Li Mui Ying",$B27="Lee Ka Po, Kathy",$B27="Huang Huanrao, Yoyo")),"HDAL",
IF(OR(WEEKDAY(Z$16,2)=7,AND(WEEKDAY(Z$16,2)=6,SUMPRODUCT(($B$9:$AG$10=IFERROR(VLOOKUP($B27,'On call stat'!$S$3:$T$20,2,FALSE),""))*($B$3:$AG$3=Z$16))&gt;0)),"DO",
IF(SUMPRODUCT(($B$9:$AG$10=IFERROR(VLOOKUP($B27,'On call stat'!$S$3:$T$20,2,FALSE),""))*($B$3:$AG$3=Z$16))&gt;0,"AL",
IF(WEEKDAY(Z$16,2)=6,
IF($B27="Chan, Man Wai","HD",
IF($B27="Ng Suet Ping, Yoko","HD",
IF($B27="Li Mui Ying","HD1",
IF($B27="Huang Huanrao, Yoyo",IF(MOD(Z$13,2)=1,"HD2",IFERROR(IF(SUMPRODUCT(($B$3:$AG$3=Z$16)*($B$5:$AG$7=VLOOKUP($B27,'On call stat'!$S$3:$T$10,2,FALSE)))&gt;0,"D","DO"),"DO")),
IF($B27="Lee Ka Po, Kathy",IF(MOD(Z$13,2)=0,"HD2",IFERROR(IF(SUMPRODUCT(($B$3:$AG$3=Z$16)*($B$5:$AG$7=VLOOKUP($B27,'On call stat'!$S$3:$T$10,2,FALSE)))&gt;0,"D","DO"),"DO")),
IF($B27="Fan Hoi Wan, Ivy",IF(MOD(Z$13,2)=0,"D",IFERROR(IF(SUMPRODUCT(($B$3:$AG$3=Z$16)*($B$5:$AG$7=VLOOKUP($B27,'On call stat'!$S$3:$T$10,2,FALSE)))&gt;0,"D","DO"),"DO")),
IFERROR(IF(SUMPRODUCT(($B$3:$AG$3=Z$16)*($B$5:$AG$7=VLOOKUP($B27,'On call stat'!$S$3:$T$10,2,FALSE)))&gt;0,"D","DO"),"DO"))))))),
IF($B27="Huang Huanrao, Yoyo",IF(MOD(Z$13,2)=1,"D1","B6"),
IF($B27="Lee Ka Po, Kathy",IF(MOD(Z$13,2)=0,"D1","B6"),
IFERROR(IF(SUMPRODUCT(($B$3:$AG$3=Z$16)*($B$5:$AG$7=VLOOKUP($B27,'On call stat'!$S$3:$T$10,2,FALSE)))&gt;0,"E","D"),"D"))))))))</f>
        <v>B6</v>
      </c>
      <c r="AA27" s="40" t="str">
        <f>IF(COUNTIF(PH!$A:$A,AA$16)&gt;0,"PH",
IF(AND(SUMPRODUCT(($B$9:$AG$10=IFERROR(VLOOKUP($B27,'On call stat'!$S$3:$T$20,2,FALSE),""))*($B$3:$AG$3=AA$16))&gt;0,OR(WEEKDAY(AA$16,2)=6,),OR($B27="Chan, Man Wai",$B27="Ng Suet Ping, Yoko",$B27="Li Mui Ying",$B27="Lee Ka Po, Kathy",$B27="Huang Huanrao, Yoyo")),"HDAL",
IF(OR(WEEKDAY(AA$16,2)=7,AND(WEEKDAY(AA$16,2)=6,SUMPRODUCT(($B$9:$AG$10=IFERROR(VLOOKUP($B27,'On call stat'!$S$3:$T$20,2,FALSE),""))*($B$3:$AG$3=AA$16))&gt;0)),"DO",
IF(SUMPRODUCT(($B$9:$AG$10=IFERROR(VLOOKUP($B27,'On call stat'!$S$3:$T$20,2,FALSE),""))*($B$3:$AG$3=AA$16))&gt;0,"AL",
IF(WEEKDAY(AA$16,2)=6,
IF($B27="Chan, Man Wai","HD",
IF($B27="Ng Suet Ping, Yoko","HD",
IF($B27="Li Mui Ying","HD1",
IF($B27="Huang Huanrao, Yoyo",IF(MOD(AA$13,2)=1,"HD2",IFERROR(IF(SUMPRODUCT(($B$3:$AG$3=AA$16)*($B$5:$AG$7=VLOOKUP($B27,'On call stat'!$S$3:$T$10,2,FALSE)))&gt;0,"D","DO"),"DO")),
IF($B27="Lee Ka Po, Kathy",IF(MOD(AA$13,2)=0,"HD2",IFERROR(IF(SUMPRODUCT(($B$3:$AG$3=AA$16)*($B$5:$AG$7=VLOOKUP($B27,'On call stat'!$S$3:$T$10,2,FALSE)))&gt;0,"D","DO"),"DO")),
IF($B27="Fan Hoi Wan, Ivy",IF(MOD(AA$13,2)=0,"D",IFERROR(IF(SUMPRODUCT(($B$3:$AG$3=AA$16)*($B$5:$AG$7=VLOOKUP($B27,'On call stat'!$S$3:$T$10,2,FALSE)))&gt;0,"D","DO"),"DO")),
IFERROR(IF(SUMPRODUCT(($B$3:$AG$3=AA$16)*($B$5:$AG$7=VLOOKUP($B27,'On call stat'!$S$3:$T$10,2,FALSE)))&gt;0,"D","DO"),"DO"))))))),
IF($B27="Huang Huanrao, Yoyo",IF(MOD(AA$13,2)=1,"D1","B6"),
IF($B27="Lee Ka Po, Kathy",IF(MOD(AA$13,2)=0,"D1","B6"),
IFERROR(IF(SUMPRODUCT(($B$3:$AG$3=AA$16)*($B$5:$AG$7=VLOOKUP($B27,'On call stat'!$S$3:$T$10,2,FALSE)))&gt;0,"E","D"),"D"))))))))</f>
        <v>PH</v>
      </c>
      <c r="AB27" s="40" t="str">
        <f>IF(COUNTIF(PH!$A:$A,AB$16)&gt;0,"PH",
IF(AND(SUMPRODUCT(($B$9:$AG$10=IFERROR(VLOOKUP($B27,'On call stat'!$S$3:$T$20,2,FALSE),""))*($B$3:$AG$3=AB$16))&gt;0,OR(WEEKDAY(AB$16,2)=6,),OR($B27="Chan, Man Wai",$B27="Ng Suet Ping, Yoko",$B27="Li Mui Ying",$B27="Lee Ka Po, Kathy",$B27="Huang Huanrao, Yoyo")),"HDAL",
IF(OR(WEEKDAY(AB$16,2)=7,AND(WEEKDAY(AB$16,2)=6,SUMPRODUCT(($B$9:$AG$10=IFERROR(VLOOKUP($B27,'On call stat'!$S$3:$T$20,2,FALSE),""))*($B$3:$AG$3=AB$16))&gt;0)),"DO",
IF(SUMPRODUCT(($B$9:$AG$10=IFERROR(VLOOKUP($B27,'On call stat'!$S$3:$T$20,2,FALSE),""))*($B$3:$AG$3=AB$16))&gt;0,"AL",
IF(WEEKDAY(AB$16,2)=6,
IF($B27="Chan, Man Wai","HD",
IF($B27="Ng Suet Ping, Yoko","HD",
IF($B27="Li Mui Ying","HD1",
IF($B27="Huang Huanrao, Yoyo",IF(MOD(AB$13,2)=1,"HD2",IFERROR(IF(SUMPRODUCT(($B$3:$AG$3=AB$16)*($B$5:$AG$7=VLOOKUP($B27,'On call stat'!$S$3:$T$10,2,FALSE)))&gt;0,"D","DO"),"DO")),
IF($B27="Lee Ka Po, Kathy",IF(MOD(AB$13,2)=0,"HD2",IFERROR(IF(SUMPRODUCT(($B$3:$AG$3=AB$16)*($B$5:$AG$7=VLOOKUP($B27,'On call stat'!$S$3:$T$10,2,FALSE)))&gt;0,"D","DO"),"DO")),
IF($B27="Fan Hoi Wan, Ivy",IF(MOD(AB$13,2)=0,"D",IFERROR(IF(SUMPRODUCT(($B$3:$AG$3=AB$16)*($B$5:$AG$7=VLOOKUP($B27,'On call stat'!$S$3:$T$10,2,FALSE)))&gt;0,"D","DO"),"DO")),
IFERROR(IF(SUMPRODUCT(($B$3:$AG$3=AB$16)*($B$5:$AG$7=VLOOKUP($B27,'On call stat'!$S$3:$T$10,2,FALSE)))&gt;0,"D","DO"),"DO"))))))),
IF($B27="Huang Huanrao, Yoyo",IF(MOD(AB$13,2)=1,"D1","B6"),
IF($B27="Lee Ka Po, Kathy",IF(MOD(AB$13,2)=0,"D1","B6"),
IFERROR(IF(SUMPRODUCT(($B$3:$AG$3=AB$16)*($B$5:$AG$7=VLOOKUP($B27,'On call stat'!$S$3:$T$10,2,FALSE)))&gt;0,"E","D"),"D"))))))))</f>
        <v>PH</v>
      </c>
      <c r="AC27" s="40" t="str">
        <f>IF(COUNTIF(PH!$A:$A,AC$16)&gt;0,"PH",
IF(AND(SUMPRODUCT(($B$9:$AG$10=IFERROR(VLOOKUP($B27,'On call stat'!$S$3:$T$20,2,FALSE),""))*($B$3:$AG$3=AC$16))&gt;0,OR(WEEKDAY(AC$16,2)=6,),OR($B27="Chan, Man Wai",$B27="Ng Suet Ping, Yoko",$B27="Li Mui Ying",$B27="Lee Ka Po, Kathy",$B27="Huang Huanrao, Yoyo")),"HDAL",
IF(OR(WEEKDAY(AC$16,2)=7,AND(WEEKDAY(AC$16,2)=6,SUMPRODUCT(($B$9:$AG$10=IFERROR(VLOOKUP($B27,'On call stat'!$S$3:$T$20,2,FALSE),""))*($B$3:$AG$3=AC$16))&gt;0)),"DO",
IF(SUMPRODUCT(($B$9:$AG$10=IFERROR(VLOOKUP($B27,'On call stat'!$S$3:$T$20,2,FALSE),""))*($B$3:$AG$3=AC$16))&gt;0,"AL",
IF(WEEKDAY(AC$16,2)=6,
IF($B27="Chan, Man Wai","HD",
IF($B27="Ng Suet Ping, Yoko","HD",
IF($B27="Li Mui Ying","HD1",
IF($B27="Huang Huanrao, Yoyo",IF(MOD(AC$13,2)=1,"HD2",IFERROR(IF(SUMPRODUCT(($B$3:$AG$3=AC$16)*($B$5:$AG$7=VLOOKUP($B27,'On call stat'!$S$3:$T$10,2,FALSE)))&gt;0,"D","DO"),"DO")),
IF($B27="Lee Ka Po, Kathy",IF(MOD(AC$13,2)=0,"HD2",IFERROR(IF(SUMPRODUCT(($B$3:$AG$3=AC$16)*($B$5:$AG$7=VLOOKUP($B27,'On call stat'!$S$3:$T$10,2,FALSE)))&gt;0,"D","DO"),"DO")),
IF($B27="Fan Hoi Wan, Ivy",IF(MOD(AC$13,2)=0,"D",IFERROR(IF(SUMPRODUCT(($B$3:$AG$3=AC$16)*($B$5:$AG$7=VLOOKUP($B27,'On call stat'!$S$3:$T$10,2,FALSE)))&gt;0,"D","DO"),"DO")),
IFERROR(IF(SUMPRODUCT(($B$3:$AG$3=AC$16)*($B$5:$AG$7=VLOOKUP($B27,'On call stat'!$S$3:$T$10,2,FALSE)))&gt;0,"D","DO"),"DO"))))))),
IF($B27="Huang Huanrao, Yoyo",IF(MOD(AC$13,2)=1,"D1","B6"),
IF($B27="Lee Ka Po, Kathy",IF(MOD(AC$13,2)=0,"D1","B6"),
IFERROR(IF(SUMPRODUCT(($B$3:$AG$3=AC$16)*($B$5:$AG$7=VLOOKUP($B27,'On call stat'!$S$3:$T$10,2,FALSE)))&gt;0,"E","D"),"D"))))))))</f>
        <v>DO</v>
      </c>
      <c r="AD27" s="40" t="str">
        <f>IF(COUNTIF(PH!$A:$A,AD$16)&gt;0,"PH",
IF(AND(SUMPRODUCT(($B$9:$AG$10=IFERROR(VLOOKUP($B27,'On call stat'!$S$3:$T$20,2,FALSE),""))*($B$3:$AG$3=AD$16))&gt;0,OR(WEEKDAY(AD$16,2)=6,),OR($B27="Chan, Man Wai",$B27="Ng Suet Ping, Yoko",$B27="Li Mui Ying",$B27="Lee Ka Po, Kathy",$B27="Huang Huanrao, Yoyo")),"HDAL",
IF(OR(WEEKDAY(AD$16,2)=7,AND(WEEKDAY(AD$16,2)=6,SUMPRODUCT(($B$9:$AG$10=IFERROR(VLOOKUP($B27,'On call stat'!$S$3:$T$20,2,FALSE),""))*($B$3:$AG$3=AD$16))&gt;0)),"DO",
IF(SUMPRODUCT(($B$9:$AG$10=IFERROR(VLOOKUP($B27,'On call stat'!$S$3:$T$20,2,FALSE),""))*($B$3:$AG$3=AD$16))&gt;0,"AL",
IF(WEEKDAY(AD$16,2)=6,
IF($B27="Chan, Man Wai","HD",
IF($B27="Ng Suet Ping, Yoko","HD",
IF($B27="Li Mui Ying","HD1",
IF($B27="Huang Huanrao, Yoyo",IF(MOD(AD$13,2)=1,"HD2",IFERROR(IF(SUMPRODUCT(($B$3:$AG$3=AD$16)*($B$5:$AG$7=VLOOKUP($B27,'On call stat'!$S$3:$T$10,2,FALSE)))&gt;0,"D","DO"),"DO")),
IF($B27="Lee Ka Po, Kathy",IF(MOD(AD$13,2)=0,"HD2",IFERROR(IF(SUMPRODUCT(($B$3:$AG$3=AD$16)*($B$5:$AG$7=VLOOKUP($B27,'On call stat'!$S$3:$T$10,2,FALSE)))&gt;0,"D","DO"),"DO")),
IF($B27="Fan Hoi Wan, Ivy",IF(MOD(AD$13,2)=0,"D",IFERROR(IF(SUMPRODUCT(($B$3:$AG$3=AD$16)*($B$5:$AG$7=VLOOKUP($B27,'On call stat'!$S$3:$T$10,2,FALSE)))&gt;0,"D","DO"),"DO")),
IFERROR(IF(SUMPRODUCT(($B$3:$AG$3=AD$16)*($B$5:$AG$7=VLOOKUP($B27,'On call stat'!$S$3:$T$10,2,FALSE)))&gt;0,"D","DO"),"DO"))))))),
IF($B27="Huang Huanrao, Yoyo",IF(MOD(AD$13,2)=1,"D1","B6"),
IF($B27="Lee Ka Po, Kathy",IF(MOD(AD$13,2)=0,"D1","B6"),
IFERROR(IF(SUMPRODUCT(($B$3:$AG$3=AD$16)*($B$5:$AG$7=VLOOKUP($B27,'On call stat'!$S$3:$T$10,2,FALSE)))&gt;0,"E","D"),"D"))))))))</f>
        <v>B6</v>
      </c>
      <c r="AE27" s="40" t="str">
        <f>IF(COUNTIF(PH!$A:$A,AE$16)&gt;0,"PH",
IF(AND(SUMPRODUCT(($B$9:$AG$10=IFERROR(VLOOKUP($B27,'On call stat'!$S$3:$T$20,2,FALSE),""))*($B$3:$AG$3=AE$16))&gt;0,OR(WEEKDAY(AE$16,2)=6,),OR($B27="Chan, Man Wai",$B27="Ng Suet Ping, Yoko",$B27="Li Mui Ying",$B27="Lee Ka Po, Kathy",$B27="Huang Huanrao, Yoyo")),"HDAL",
IF(OR(WEEKDAY(AE$16,2)=7,AND(WEEKDAY(AE$16,2)=6,SUMPRODUCT(($B$9:$AG$10=IFERROR(VLOOKUP($B27,'On call stat'!$S$3:$T$20,2,FALSE),""))*($B$3:$AG$3=AE$16))&gt;0)),"DO",
IF(SUMPRODUCT(($B$9:$AG$10=IFERROR(VLOOKUP($B27,'On call stat'!$S$3:$T$20,2,FALSE),""))*($B$3:$AG$3=AE$16))&gt;0,"AL",
IF(WEEKDAY(AE$16,2)=6,
IF($B27="Chan, Man Wai","HD",
IF($B27="Ng Suet Ping, Yoko","HD",
IF($B27="Li Mui Ying","HD1",
IF($B27="Huang Huanrao, Yoyo",IF(MOD(AE$13,2)=1,"HD2",IFERROR(IF(SUMPRODUCT(($B$3:$AG$3=AE$16)*($B$5:$AG$7=VLOOKUP($B27,'On call stat'!$S$3:$T$10,2,FALSE)))&gt;0,"D","DO"),"DO")),
IF($B27="Lee Ka Po, Kathy",IF(MOD(AE$13,2)=0,"HD2",IFERROR(IF(SUMPRODUCT(($B$3:$AG$3=AE$16)*($B$5:$AG$7=VLOOKUP($B27,'On call stat'!$S$3:$T$10,2,FALSE)))&gt;0,"D","DO"),"DO")),
IF($B27="Fan Hoi Wan, Ivy",IF(MOD(AE$13,2)=0,"D",IFERROR(IF(SUMPRODUCT(($B$3:$AG$3=AE$16)*($B$5:$AG$7=VLOOKUP($B27,'On call stat'!$S$3:$T$10,2,FALSE)))&gt;0,"D","DO"),"DO")),
IFERROR(IF(SUMPRODUCT(($B$3:$AG$3=AE$16)*($B$5:$AG$7=VLOOKUP($B27,'On call stat'!$S$3:$T$10,2,FALSE)))&gt;0,"D","DO"),"DO"))))))),
IF($B27="Huang Huanrao, Yoyo",IF(MOD(AE$13,2)=1,"D1","B6"),
IF($B27="Lee Ka Po, Kathy",IF(MOD(AE$13,2)=0,"D1","B6"),
IFERROR(IF(SUMPRODUCT(($B$3:$AG$3=AE$16)*($B$5:$AG$7=VLOOKUP($B27,'On call stat'!$S$3:$T$10,2,FALSE)))&gt;0,"E","D"),"D"))))))))</f>
        <v>B6</v>
      </c>
      <c r="AF27" s="40" t="str">
        <f>IF(COUNTIF(PH!$A:$A,AF$16)&gt;0,"PH",
IF(AND(SUMPRODUCT(($B$9:$AG$10=IFERROR(VLOOKUP($B27,'On call stat'!$S$3:$T$20,2,FALSE),""))*($B$3:$AG$3=AF$16))&gt;0,OR(WEEKDAY(AF$16,2)=6,),OR($B27="Chan, Man Wai",$B27="Ng Suet Ping, Yoko",$B27="Li Mui Ying",$B27="Lee Ka Po, Kathy",$B27="Huang Huanrao, Yoyo")),"HDAL",
IF(OR(WEEKDAY(AF$16,2)=7,AND(WEEKDAY(AF$16,2)=6,SUMPRODUCT(($B$9:$AG$10=IFERROR(VLOOKUP($B27,'On call stat'!$S$3:$T$20,2,FALSE),""))*($B$3:$AG$3=AF$16))&gt;0)),"DO",
IF(SUMPRODUCT(($B$9:$AG$10=IFERROR(VLOOKUP($B27,'On call stat'!$S$3:$T$20,2,FALSE),""))*($B$3:$AG$3=AF$16))&gt;0,"AL",
IF(WEEKDAY(AF$16,2)=6,
IF($B27="Chan, Man Wai","HD",
IF($B27="Ng Suet Ping, Yoko","HD",
IF($B27="Li Mui Ying","HD1",
IF($B27="Huang Huanrao, Yoyo",IF(MOD(AF$13,2)=1,"HD2",IFERROR(IF(SUMPRODUCT(($B$3:$AG$3=AF$16)*($B$5:$AG$7=VLOOKUP($B27,'On call stat'!$S$3:$T$10,2,FALSE)))&gt;0,"D","DO"),"DO")),
IF($B27="Lee Ka Po, Kathy",IF(MOD(AF$13,2)=0,"HD2",IFERROR(IF(SUMPRODUCT(($B$3:$AG$3=AF$16)*($B$5:$AG$7=VLOOKUP($B27,'On call stat'!$S$3:$T$10,2,FALSE)))&gt;0,"D","DO"),"DO")),
IF($B27="Fan Hoi Wan, Ivy",IF(MOD(AF$13,2)=0,"D",IFERROR(IF(SUMPRODUCT(($B$3:$AG$3=AF$16)*($B$5:$AG$7=VLOOKUP($B27,'On call stat'!$S$3:$T$10,2,FALSE)))&gt;0,"D","DO"),"DO")),
IFERROR(IF(SUMPRODUCT(($B$3:$AG$3=AF$16)*($B$5:$AG$7=VLOOKUP($B27,'On call stat'!$S$3:$T$10,2,FALSE)))&gt;0,"D","DO"),"DO"))))))),
IF($B27="Huang Huanrao, Yoyo",IF(MOD(AF$13,2)=1,"D1","B6"),
IF($B27="Lee Ka Po, Kathy",IF(MOD(AF$13,2)=0,"D1","B6"),
IFERROR(IF(SUMPRODUCT(($B$3:$AG$3=AF$16)*($B$5:$AG$7=VLOOKUP($B27,'On call stat'!$S$3:$T$10,2,FALSE)))&gt;0,"E","D"),"D"))))))))</f>
        <v>B6</v>
      </c>
      <c r="AG27" s="40" t="str">
        <f>IF(COUNTIF(PH!$A:$A,AG$16)&gt;0,"PH",
IF(AND(SUMPRODUCT(($B$9:$AG$10=IFERROR(VLOOKUP($B27,'On call stat'!$S$3:$T$20,2,FALSE),""))*($B$3:$AG$3=AG$16))&gt;0,OR(WEEKDAY(AG$16,2)=6,),OR($B27="Chan, Man Wai",$B27="Ng Suet Ping, Yoko",$B27="Li Mui Ying",$B27="Lee Ka Po, Kathy",$B27="Huang Huanrao, Yoyo")),"HDAL",
IF(OR(WEEKDAY(AG$16,2)=7,AND(WEEKDAY(AG$16,2)=6,SUMPRODUCT(($B$9:$AG$10=IFERROR(VLOOKUP($B27,'On call stat'!$S$3:$T$20,2,FALSE),""))*($B$3:$AG$3=AG$16))&gt;0)),"DO",
IF(SUMPRODUCT(($B$9:$AG$10=IFERROR(VLOOKUP($B27,'On call stat'!$S$3:$T$20,2,FALSE),""))*($B$3:$AG$3=AG$16))&gt;0,"AL",
IF(WEEKDAY(AG$16,2)=6,
IF($B27="Chan, Man Wai","HD",
IF($B27="Ng Suet Ping, Yoko","HD",
IF($B27="Li Mui Ying","HD1",
IF($B27="Huang Huanrao, Yoyo",IF(MOD(AG$13,2)=1,"HD2",IFERROR(IF(SUMPRODUCT(($B$3:$AG$3=AG$16)*($B$5:$AG$7=VLOOKUP($B27,'On call stat'!$S$3:$T$10,2,FALSE)))&gt;0,"D","DO"),"DO")),
IF($B27="Lee Ka Po, Kathy",IF(MOD(AG$13,2)=0,"HD2",IFERROR(IF(SUMPRODUCT(($B$3:$AG$3=AG$16)*($B$5:$AG$7=VLOOKUP($B27,'On call stat'!$S$3:$T$10,2,FALSE)))&gt;0,"D","DO"),"DO")),
IF($B27="Fan Hoi Wan, Ivy",IF(MOD(AG$13,2)=0,"D",IFERROR(IF(SUMPRODUCT(($B$3:$AG$3=AG$16)*($B$5:$AG$7=VLOOKUP($B27,'On call stat'!$S$3:$T$10,2,FALSE)))&gt;0,"D","DO"),"DO")),
IFERROR(IF(SUMPRODUCT(($B$3:$AG$3=AG$16)*($B$5:$AG$7=VLOOKUP($B27,'On call stat'!$S$3:$T$10,2,FALSE)))&gt;0,"D","DO"),"DO"))))))),
IF($B27="Huang Huanrao, Yoyo",IF(MOD(AG$13,2)=1,"D1","B6"),
IF($B27="Lee Ka Po, Kathy",IF(MOD(AG$13,2)=0,"D1","B6"),
IFERROR(IF(SUMPRODUCT(($B$3:$AG$3=AG$16)*($B$5:$AG$7=VLOOKUP($B27,'On call stat'!$S$3:$T$10,2,FALSE)))&gt;0,"E","D"),"D"))))))))</f>
        <v>B6</v>
      </c>
      <c r="AK27" s="11"/>
      <c r="AL27" s="11"/>
      <c r="AM27" s="66" cm="1">
        <f t="array" ref="AM27">SUMPRODUCT((C27:AG27="AL") *  (COUNTIF(PH!$A:$A, C$16:AG$16)=0) *(WEEKDAY(C$16:AG$16,2)&lt;=5) *  8)+SUMPRODUCT((C27:AG27="HDAL") *  (COUNTIF(PH!$A:$A, C$16:AG$16)=0) *(WEEKDAY(C$16:AG$16,2)&lt;=6) *  4)</f>
        <v>0</v>
      </c>
      <c r="AN27" s="68"/>
      <c r="AO27" s="67"/>
      <c r="AP27" s="67">
        <f>AO27+Nov!AP27</f>
        <v>0</v>
      </c>
    </row>
    <row r="28" spans="1:42" ht="37.5" customHeight="1" thickBot="1">
      <c r="A28" s="23" t="s">
        <v>65</v>
      </c>
      <c r="B28" s="22" t="s">
        <v>66</v>
      </c>
      <c r="C28" s="40" t="str">
        <f>IF(COUNTIF(PH!$A:$A,C$16)&gt;0,"PH",
IF(AND(SUMPRODUCT(($B$9:$AG$10=IFERROR(VLOOKUP($B28,'On call stat'!$S$3:$T$20,2,FALSE),""))*($B$3:$AG$3=C$16))&gt;0,OR(WEEKDAY(C$16,2)=6,),OR($B28="Chan, Man Wai",$B28="Ng Suet Ping, Yoko",$B28="Li Mui Ying",$B28="Lee Ka Po, Kathy",$B28="Huang Huanrao, Yoyo")),"HDAL",
IF(OR(WEEKDAY(C$16,2)=7,AND(WEEKDAY(C$16,2)=6,SUMPRODUCT(($B$9:$AG$10=IFERROR(VLOOKUP($B28,'On call stat'!$S$3:$T$20,2,FALSE),""))*($B$3:$AG$3=C$16))&gt;0)),"DO",
IF(SUMPRODUCT(($B$9:$AG$10=IFERROR(VLOOKUP($B28,'On call stat'!$S$3:$T$20,2,FALSE),""))*($B$3:$AG$3=C$16))&gt;0,"AL",
IF(WEEKDAY(C$16,2)=6,
IF($B28="Chan, Man Wai","HD",
IF($B28="Ng Suet Ping, Yoko","HD",
IF($B28="Li Mui Ying","HD1",
IF($B28="Huang Huanrao, Yoyo",IF(MOD(C$13,2)=1,"HD2",IFERROR(IF(SUMPRODUCT(($B$3:$AG$3=C$16)*($B$5:$AG$7=VLOOKUP($B28,'On call stat'!$S$3:$T$10,2,FALSE)))&gt;0,"D","DO"),"DO")),
IF($B28="Lee Ka Po, Kathy",IF(MOD(C$13,2)=0,"HD2",IFERROR(IF(SUMPRODUCT(($B$3:$AG$3=C$16)*($B$5:$AG$7=VLOOKUP($B28,'On call stat'!$S$3:$T$10,2,FALSE)))&gt;0,"D","DO"),"DO")),
IF($B28="Fan Hoi Wan, Ivy",IF(MOD(C$13,2)=0,"D",IFERROR(IF(SUMPRODUCT(($B$3:$AG$3=C$16)*($B$5:$AG$7=VLOOKUP($B28,'On call stat'!$S$3:$T$10,2,FALSE)))&gt;0,"D","DO"),"DO")),
IFERROR(IF(SUMPRODUCT(($B$3:$AG$3=C$16)*($B$5:$AG$7=VLOOKUP($B28,'On call stat'!$S$3:$T$10,2,FALSE)))&gt;0,"D","DO"),"DO"))))))),
IF($B28="Huang Huanrao, Yoyo",IF(MOD(C$13,2)=1,"D1","B6"),
IF($B28="Lee Ka Po, Kathy",IF(MOD(C$13,2)=0,"D1","B6"),
IFERROR(IF(SUMPRODUCT(($B$3:$AG$3=C$16)*($B$5:$AG$7=VLOOKUP($B28,'On call stat'!$S$3:$T$10,2,FALSE)))&gt;0,"E","D"),"D"))))))))</f>
        <v>D1</v>
      </c>
      <c r="D28" s="40" t="str">
        <f>IF(COUNTIF(PH!$A:$A,D$16)&gt;0,"PH",
IF(AND(SUMPRODUCT(($B$9:$AG$10=IFERROR(VLOOKUP($B28,'On call stat'!$S$3:$T$20,2,FALSE),""))*($B$3:$AG$3=D$16))&gt;0,OR(WEEKDAY(D$16,2)=6,),OR($B28="Chan, Man Wai",$B28="Ng Suet Ping, Yoko",$B28="Li Mui Ying",$B28="Lee Ka Po, Kathy",$B28="Huang Huanrao, Yoyo")),"HDAL",
IF(OR(WEEKDAY(D$16,2)=7,AND(WEEKDAY(D$16,2)=6,SUMPRODUCT(($B$9:$AG$10=IFERROR(VLOOKUP($B28,'On call stat'!$S$3:$T$20,2,FALSE),""))*($B$3:$AG$3=D$16))&gt;0)),"DO",
IF(SUMPRODUCT(($B$9:$AG$10=IFERROR(VLOOKUP($B28,'On call stat'!$S$3:$T$20,2,FALSE),""))*($B$3:$AG$3=D$16))&gt;0,"AL",
IF(WEEKDAY(D$16,2)=6,
IF($B28="Chan, Man Wai","HD",
IF($B28="Ng Suet Ping, Yoko","HD",
IF($B28="Li Mui Ying","HD1",
IF($B28="Huang Huanrao, Yoyo",IF(MOD(D$13,2)=1,"HD2",IFERROR(IF(SUMPRODUCT(($B$3:$AG$3=D$16)*($B$5:$AG$7=VLOOKUP($B28,'On call stat'!$S$3:$T$10,2,FALSE)))&gt;0,"D","DO"),"DO")),
IF($B28="Lee Ka Po, Kathy",IF(MOD(D$13,2)=0,"HD2",IFERROR(IF(SUMPRODUCT(($B$3:$AG$3=D$16)*($B$5:$AG$7=VLOOKUP($B28,'On call stat'!$S$3:$T$10,2,FALSE)))&gt;0,"D","DO"),"DO")),
IF($B28="Fan Hoi Wan, Ivy",IF(MOD(D$13,2)=0,"D",IFERROR(IF(SUMPRODUCT(($B$3:$AG$3=D$16)*($B$5:$AG$7=VLOOKUP($B28,'On call stat'!$S$3:$T$10,2,FALSE)))&gt;0,"D","DO"),"DO")),
IFERROR(IF(SUMPRODUCT(($B$3:$AG$3=D$16)*($B$5:$AG$7=VLOOKUP($B28,'On call stat'!$S$3:$T$10,2,FALSE)))&gt;0,"D","DO"),"DO"))))))),
IF($B28="Huang Huanrao, Yoyo",IF(MOD(D$13,2)=1,"D1","B6"),
IF($B28="Lee Ka Po, Kathy",IF(MOD(D$13,2)=0,"D1","B6"),
IFERROR(IF(SUMPRODUCT(($B$3:$AG$3=D$16)*($B$5:$AG$7=VLOOKUP($B28,'On call stat'!$S$3:$T$10,2,FALSE)))&gt;0,"E","D"),"D"))))))))</f>
        <v>D1</v>
      </c>
      <c r="E28" s="40" t="str">
        <f>IF(COUNTIF(PH!$A:$A,E$16)&gt;0,"PH",
IF(AND(SUMPRODUCT(($B$9:$AG$10=IFERROR(VLOOKUP($B28,'On call stat'!$S$3:$T$20,2,FALSE),""))*($B$3:$AG$3=E$16))&gt;0,OR(WEEKDAY(E$16,2)=6,),OR($B28="Chan, Man Wai",$B28="Ng Suet Ping, Yoko",$B28="Li Mui Ying",$B28="Lee Ka Po, Kathy",$B28="Huang Huanrao, Yoyo")),"HDAL",
IF(OR(WEEKDAY(E$16,2)=7,AND(WEEKDAY(E$16,2)=6,SUMPRODUCT(($B$9:$AG$10=IFERROR(VLOOKUP($B28,'On call stat'!$S$3:$T$20,2,FALSE),""))*($B$3:$AG$3=E$16))&gt;0)),"DO",
IF(SUMPRODUCT(($B$9:$AG$10=IFERROR(VLOOKUP($B28,'On call stat'!$S$3:$T$20,2,FALSE),""))*($B$3:$AG$3=E$16))&gt;0,"AL",
IF(WEEKDAY(E$16,2)=6,
IF($B28="Chan, Man Wai","HD",
IF($B28="Ng Suet Ping, Yoko","HD",
IF($B28="Li Mui Ying","HD1",
IF($B28="Huang Huanrao, Yoyo",IF(MOD(E$13,2)=1,"HD2",IFERROR(IF(SUMPRODUCT(($B$3:$AG$3=E$16)*($B$5:$AG$7=VLOOKUP($B28,'On call stat'!$S$3:$T$10,2,FALSE)))&gt;0,"D","DO"),"DO")),
IF($B28="Lee Ka Po, Kathy",IF(MOD(E$13,2)=0,"HD2",IFERROR(IF(SUMPRODUCT(($B$3:$AG$3=E$16)*($B$5:$AG$7=VLOOKUP($B28,'On call stat'!$S$3:$T$10,2,FALSE)))&gt;0,"D","DO"),"DO")),
IF($B28="Fan Hoi Wan, Ivy",IF(MOD(E$13,2)=0,"D",IFERROR(IF(SUMPRODUCT(($B$3:$AG$3=E$16)*($B$5:$AG$7=VLOOKUP($B28,'On call stat'!$S$3:$T$10,2,FALSE)))&gt;0,"D","DO"),"DO")),
IFERROR(IF(SUMPRODUCT(($B$3:$AG$3=E$16)*($B$5:$AG$7=VLOOKUP($B28,'On call stat'!$S$3:$T$10,2,FALSE)))&gt;0,"D","DO"),"DO"))))))),
IF($B28="Huang Huanrao, Yoyo",IF(MOD(E$13,2)=1,"D1","B6"),
IF($B28="Lee Ka Po, Kathy",IF(MOD(E$13,2)=0,"D1","B6"),
IFERROR(IF(SUMPRODUCT(($B$3:$AG$3=E$16)*($B$5:$AG$7=VLOOKUP($B28,'On call stat'!$S$3:$T$10,2,FALSE)))&gt;0,"E","D"),"D"))))))))</f>
        <v>D1</v>
      </c>
      <c r="F28" s="40" t="str">
        <f>IF(COUNTIF(PH!$A:$A,F$16)&gt;0,"PH",
IF(AND(SUMPRODUCT(($B$9:$AG$10=IFERROR(VLOOKUP($B28,'On call stat'!$S$3:$T$20,2,FALSE),""))*($B$3:$AG$3=F$16))&gt;0,OR(WEEKDAY(F$16,2)=6,),OR($B28="Chan, Man Wai",$B28="Ng Suet Ping, Yoko",$B28="Li Mui Ying",$B28="Lee Ka Po, Kathy",$B28="Huang Huanrao, Yoyo")),"HDAL",
IF(OR(WEEKDAY(F$16,2)=7,AND(WEEKDAY(F$16,2)=6,SUMPRODUCT(($B$9:$AG$10=IFERROR(VLOOKUP($B28,'On call stat'!$S$3:$T$20,2,FALSE),""))*($B$3:$AG$3=F$16))&gt;0)),"DO",
IF(SUMPRODUCT(($B$9:$AG$10=IFERROR(VLOOKUP($B28,'On call stat'!$S$3:$T$20,2,FALSE),""))*($B$3:$AG$3=F$16))&gt;0,"AL",
IF(WEEKDAY(F$16,2)=6,
IF($B28="Chan, Man Wai","HD",
IF($B28="Ng Suet Ping, Yoko","HD",
IF($B28="Li Mui Ying","HD1",
IF($B28="Huang Huanrao, Yoyo",IF(MOD(F$13,2)=1,"HD2",IFERROR(IF(SUMPRODUCT(($B$3:$AG$3=F$16)*($B$5:$AG$7=VLOOKUP($B28,'On call stat'!$S$3:$T$10,2,FALSE)))&gt;0,"D","DO"),"DO")),
IF($B28="Lee Ka Po, Kathy",IF(MOD(F$13,2)=0,"HD2",IFERROR(IF(SUMPRODUCT(($B$3:$AG$3=F$16)*($B$5:$AG$7=VLOOKUP($B28,'On call stat'!$S$3:$T$10,2,FALSE)))&gt;0,"D","DO"),"DO")),
IF($B28="Fan Hoi Wan, Ivy",IF(MOD(F$13,2)=0,"D",IFERROR(IF(SUMPRODUCT(($B$3:$AG$3=F$16)*($B$5:$AG$7=VLOOKUP($B28,'On call stat'!$S$3:$T$10,2,FALSE)))&gt;0,"D","DO"),"DO")),
IFERROR(IF(SUMPRODUCT(($B$3:$AG$3=F$16)*($B$5:$AG$7=VLOOKUP($B28,'On call stat'!$S$3:$T$10,2,FALSE)))&gt;0,"D","DO"),"DO"))))))),
IF($B28="Huang Huanrao, Yoyo",IF(MOD(F$13,2)=1,"D1","B6"),
IF($B28="Lee Ka Po, Kathy",IF(MOD(F$13,2)=0,"D1","B6"),
IFERROR(IF(SUMPRODUCT(($B$3:$AG$3=F$16)*($B$5:$AG$7=VLOOKUP($B28,'On call stat'!$S$3:$T$10,2,FALSE)))&gt;0,"E","D"),"D"))))))))</f>
        <v>D1</v>
      </c>
      <c r="G28" s="40" t="str">
        <f>IF(COUNTIF(PH!$A:$A,G$16)&gt;0,"PH",
IF(AND(SUMPRODUCT(($B$9:$AG$10=IFERROR(VLOOKUP($B28,'On call stat'!$S$3:$T$20,2,FALSE),""))*($B$3:$AG$3=G$16))&gt;0,OR(WEEKDAY(G$16,2)=6,),OR($B28="Chan, Man Wai",$B28="Ng Suet Ping, Yoko",$B28="Li Mui Ying",$B28="Lee Ka Po, Kathy",$B28="Huang Huanrao, Yoyo")),"HDAL",
IF(OR(WEEKDAY(G$16,2)=7,AND(WEEKDAY(G$16,2)=6,SUMPRODUCT(($B$9:$AG$10=IFERROR(VLOOKUP($B28,'On call stat'!$S$3:$T$20,2,FALSE),""))*($B$3:$AG$3=G$16))&gt;0)),"DO",
IF(SUMPRODUCT(($B$9:$AG$10=IFERROR(VLOOKUP($B28,'On call stat'!$S$3:$T$20,2,FALSE),""))*($B$3:$AG$3=G$16))&gt;0,"AL",
IF(WEEKDAY(G$16,2)=6,
IF($B28="Chan, Man Wai","HD",
IF($B28="Ng Suet Ping, Yoko","HD",
IF($B28="Li Mui Ying","HD1",
IF($B28="Huang Huanrao, Yoyo",IF(MOD(G$13,2)=1,"HD2",IFERROR(IF(SUMPRODUCT(($B$3:$AG$3=G$16)*($B$5:$AG$7=VLOOKUP($B28,'On call stat'!$S$3:$T$10,2,FALSE)))&gt;0,"D","DO"),"DO")),
IF($B28="Lee Ka Po, Kathy",IF(MOD(G$13,2)=0,"HD2",IFERROR(IF(SUMPRODUCT(($B$3:$AG$3=G$16)*($B$5:$AG$7=VLOOKUP($B28,'On call stat'!$S$3:$T$10,2,FALSE)))&gt;0,"D","DO"),"DO")),
IF($B28="Fan Hoi Wan, Ivy",IF(MOD(G$13,2)=0,"D",IFERROR(IF(SUMPRODUCT(($B$3:$AG$3=G$16)*($B$5:$AG$7=VLOOKUP($B28,'On call stat'!$S$3:$T$10,2,FALSE)))&gt;0,"D","DO"),"DO")),
IFERROR(IF(SUMPRODUCT(($B$3:$AG$3=G$16)*($B$5:$AG$7=VLOOKUP($B28,'On call stat'!$S$3:$T$10,2,FALSE)))&gt;0,"D","DO"),"DO"))))))),
IF($B28="Huang Huanrao, Yoyo",IF(MOD(G$13,2)=1,"D1","B6"),
IF($B28="Lee Ka Po, Kathy",IF(MOD(G$13,2)=0,"D1","B6"),
IFERROR(IF(SUMPRODUCT(($B$3:$AG$3=G$16)*($B$5:$AG$7=VLOOKUP($B28,'On call stat'!$S$3:$T$10,2,FALSE)))&gt;0,"E","D"),"D"))))))))</f>
        <v>DO</v>
      </c>
      <c r="H28" s="40" t="str">
        <f>IF(COUNTIF(PH!$A:$A,H$16)&gt;0,"PH",
IF(AND(SUMPRODUCT(($B$9:$AG$10=IFERROR(VLOOKUP($B28,'On call stat'!$S$3:$T$20,2,FALSE),""))*($B$3:$AG$3=H$16))&gt;0,OR(WEEKDAY(H$16,2)=6,),OR($B28="Chan, Man Wai",$B28="Ng Suet Ping, Yoko",$B28="Li Mui Ying",$B28="Lee Ka Po, Kathy",$B28="Huang Huanrao, Yoyo")),"HDAL",
IF(OR(WEEKDAY(H$16,2)=7,AND(WEEKDAY(H$16,2)=6,SUMPRODUCT(($B$9:$AG$10=IFERROR(VLOOKUP($B28,'On call stat'!$S$3:$T$20,2,FALSE),""))*($B$3:$AG$3=H$16))&gt;0)),"DO",
IF(SUMPRODUCT(($B$9:$AG$10=IFERROR(VLOOKUP($B28,'On call stat'!$S$3:$T$20,2,FALSE),""))*($B$3:$AG$3=H$16))&gt;0,"AL",
IF(WEEKDAY(H$16,2)=6,
IF($B28="Chan, Man Wai","HD",
IF($B28="Ng Suet Ping, Yoko","HD",
IF($B28="Li Mui Ying","HD1",
IF($B28="Huang Huanrao, Yoyo",IF(MOD(H$13,2)=1,"HD2",IFERROR(IF(SUMPRODUCT(($B$3:$AG$3=H$16)*($B$5:$AG$7=VLOOKUP($B28,'On call stat'!$S$3:$T$10,2,FALSE)))&gt;0,"D","DO"),"DO")),
IF($B28="Lee Ka Po, Kathy",IF(MOD(H$13,2)=0,"HD2",IFERROR(IF(SUMPRODUCT(($B$3:$AG$3=H$16)*($B$5:$AG$7=VLOOKUP($B28,'On call stat'!$S$3:$T$10,2,FALSE)))&gt;0,"D","DO"),"DO")),
IF($B28="Fan Hoi Wan, Ivy",IF(MOD(H$13,2)=0,"D",IFERROR(IF(SUMPRODUCT(($B$3:$AG$3=H$16)*($B$5:$AG$7=VLOOKUP($B28,'On call stat'!$S$3:$T$10,2,FALSE)))&gt;0,"D","DO"),"DO")),
IFERROR(IF(SUMPRODUCT(($B$3:$AG$3=H$16)*($B$5:$AG$7=VLOOKUP($B28,'On call stat'!$S$3:$T$10,2,FALSE)))&gt;0,"D","DO"),"DO"))))))),
IF($B28="Huang Huanrao, Yoyo",IF(MOD(H$13,2)=1,"D1","B6"),
IF($B28="Lee Ka Po, Kathy",IF(MOD(H$13,2)=0,"D1","B6"),
IFERROR(IF(SUMPRODUCT(($B$3:$AG$3=H$16)*($B$5:$AG$7=VLOOKUP($B28,'On call stat'!$S$3:$T$10,2,FALSE)))&gt;0,"E","D"),"D"))))))))</f>
        <v>DO</v>
      </c>
      <c r="I28" s="40" t="str">
        <f>IF(COUNTIF(PH!$A:$A,I$16)&gt;0,"PH",
IF(AND(SUMPRODUCT(($B$9:$AG$10=IFERROR(VLOOKUP($B28,'On call stat'!$S$3:$T$20,2,FALSE),""))*($B$3:$AG$3=I$16))&gt;0,OR(WEEKDAY(I$16,2)=6,),OR($B28="Chan, Man Wai",$B28="Ng Suet Ping, Yoko",$B28="Li Mui Ying",$B28="Lee Ka Po, Kathy",$B28="Huang Huanrao, Yoyo")),"HDAL",
IF(OR(WEEKDAY(I$16,2)=7,AND(WEEKDAY(I$16,2)=6,SUMPRODUCT(($B$9:$AG$10=IFERROR(VLOOKUP($B28,'On call stat'!$S$3:$T$20,2,FALSE),""))*($B$3:$AG$3=I$16))&gt;0)),"DO",
IF(SUMPRODUCT(($B$9:$AG$10=IFERROR(VLOOKUP($B28,'On call stat'!$S$3:$T$20,2,FALSE),""))*($B$3:$AG$3=I$16))&gt;0,"AL",
IF(WEEKDAY(I$16,2)=6,
IF($B28="Chan, Man Wai","HD",
IF($B28="Ng Suet Ping, Yoko","HD",
IF($B28="Li Mui Ying","HD1",
IF($B28="Huang Huanrao, Yoyo",IF(MOD(I$13,2)=1,"HD2",IFERROR(IF(SUMPRODUCT(($B$3:$AG$3=I$16)*($B$5:$AG$7=VLOOKUP($B28,'On call stat'!$S$3:$T$10,2,FALSE)))&gt;0,"D","DO"),"DO")),
IF($B28="Lee Ka Po, Kathy",IF(MOD(I$13,2)=0,"HD2",IFERROR(IF(SUMPRODUCT(($B$3:$AG$3=I$16)*($B$5:$AG$7=VLOOKUP($B28,'On call stat'!$S$3:$T$10,2,FALSE)))&gt;0,"D","DO"),"DO")),
IF($B28="Fan Hoi Wan, Ivy",IF(MOD(I$13,2)=0,"D",IFERROR(IF(SUMPRODUCT(($B$3:$AG$3=I$16)*($B$5:$AG$7=VLOOKUP($B28,'On call stat'!$S$3:$T$10,2,FALSE)))&gt;0,"D","DO"),"DO")),
IFERROR(IF(SUMPRODUCT(($B$3:$AG$3=I$16)*($B$5:$AG$7=VLOOKUP($B28,'On call stat'!$S$3:$T$10,2,FALSE)))&gt;0,"D","DO"),"DO"))))))),
IF($B28="Huang Huanrao, Yoyo",IF(MOD(I$13,2)=1,"D1","B6"),
IF($B28="Lee Ka Po, Kathy",IF(MOD(I$13,2)=0,"D1","B6"),
IFERROR(IF(SUMPRODUCT(($B$3:$AG$3=I$16)*($B$5:$AG$7=VLOOKUP($B28,'On call stat'!$S$3:$T$10,2,FALSE)))&gt;0,"E","D"),"D"))))))))</f>
        <v>D1</v>
      </c>
      <c r="J28" s="40" t="str">
        <f>IF(COUNTIF(PH!$A:$A,J$16)&gt;0,"PH",
IF(AND(SUMPRODUCT(($B$9:$AG$10=IFERROR(VLOOKUP($B28,'On call stat'!$S$3:$T$20,2,FALSE),""))*($B$3:$AG$3=J$16))&gt;0,OR(WEEKDAY(J$16,2)=6,),OR($B28="Chan, Man Wai",$B28="Ng Suet Ping, Yoko",$B28="Li Mui Ying",$B28="Lee Ka Po, Kathy",$B28="Huang Huanrao, Yoyo")),"HDAL",
IF(OR(WEEKDAY(J$16,2)=7,AND(WEEKDAY(J$16,2)=6,SUMPRODUCT(($B$9:$AG$10=IFERROR(VLOOKUP($B28,'On call stat'!$S$3:$T$20,2,FALSE),""))*($B$3:$AG$3=J$16))&gt;0)),"DO",
IF(SUMPRODUCT(($B$9:$AG$10=IFERROR(VLOOKUP($B28,'On call stat'!$S$3:$T$20,2,FALSE),""))*($B$3:$AG$3=J$16))&gt;0,"AL",
IF(WEEKDAY(J$16,2)=6,
IF($B28="Chan, Man Wai","HD",
IF($B28="Ng Suet Ping, Yoko","HD",
IF($B28="Li Mui Ying","HD1",
IF($B28="Huang Huanrao, Yoyo",IF(MOD(J$13,2)=1,"HD2",IFERROR(IF(SUMPRODUCT(($B$3:$AG$3=J$16)*($B$5:$AG$7=VLOOKUP($B28,'On call stat'!$S$3:$T$10,2,FALSE)))&gt;0,"D","DO"),"DO")),
IF($B28="Lee Ka Po, Kathy",IF(MOD(J$13,2)=0,"HD2",IFERROR(IF(SUMPRODUCT(($B$3:$AG$3=J$16)*($B$5:$AG$7=VLOOKUP($B28,'On call stat'!$S$3:$T$10,2,FALSE)))&gt;0,"D","DO"),"DO")),
IF($B28="Fan Hoi Wan, Ivy",IF(MOD(J$13,2)=0,"D",IFERROR(IF(SUMPRODUCT(($B$3:$AG$3=J$16)*($B$5:$AG$7=VLOOKUP($B28,'On call stat'!$S$3:$T$10,2,FALSE)))&gt;0,"D","DO"),"DO")),
IFERROR(IF(SUMPRODUCT(($B$3:$AG$3=J$16)*($B$5:$AG$7=VLOOKUP($B28,'On call stat'!$S$3:$T$10,2,FALSE)))&gt;0,"D","DO"),"DO"))))))),
IF($B28="Huang Huanrao, Yoyo",IF(MOD(J$13,2)=1,"D1","B6"),
IF($B28="Lee Ka Po, Kathy",IF(MOD(J$13,2)=0,"D1","B6"),
IFERROR(IF(SUMPRODUCT(($B$3:$AG$3=J$16)*($B$5:$AG$7=VLOOKUP($B28,'On call stat'!$S$3:$T$10,2,FALSE)))&gt;0,"E","D"),"D"))))))))</f>
        <v>D1</v>
      </c>
      <c r="K28" s="40" t="str">
        <f>IF(COUNTIF(PH!$A:$A,K$16)&gt;0,"PH",
IF(AND(SUMPRODUCT(($B$9:$AG$10=IFERROR(VLOOKUP($B28,'On call stat'!$S$3:$T$20,2,FALSE),""))*($B$3:$AG$3=K$16))&gt;0,OR(WEEKDAY(K$16,2)=6,),OR($B28="Chan, Man Wai",$B28="Ng Suet Ping, Yoko",$B28="Li Mui Ying",$B28="Lee Ka Po, Kathy",$B28="Huang Huanrao, Yoyo")),"HDAL",
IF(OR(WEEKDAY(K$16,2)=7,AND(WEEKDAY(K$16,2)=6,SUMPRODUCT(($B$9:$AG$10=IFERROR(VLOOKUP($B28,'On call stat'!$S$3:$T$20,2,FALSE),""))*($B$3:$AG$3=K$16))&gt;0)),"DO",
IF(SUMPRODUCT(($B$9:$AG$10=IFERROR(VLOOKUP($B28,'On call stat'!$S$3:$T$20,2,FALSE),""))*($B$3:$AG$3=K$16))&gt;0,"AL",
IF(WEEKDAY(K$16,2)=6,
IF($B28="Chan, Man Wai","HD",
IF($B28="Ng Suet Ping, Yoko","HD",
IF($B28="Li Mui Ying","HD1",
IF($B28="Huang Huanrao, Yoyo",IF(MOD(K$13,2)=1,"HD2",IFERROR(IF(SUMPRODUCT(($B$3:$AG$3=K$16)*($B$5:$AG$7=VLOOKUP($B28,'On call stat'!$S$3:$T$10,2,FALSE)))&gt;0,"D","DO"),"DO")),
IF($B28="Lee Ka Po, Kathy",IF(MOD(K$13,2)=0,"HD2",IFERROR(IF(SUMPRODUCT(($B$3:$AG$3=K$16)*($B$5:$AG$7=VLOOKUP($B28,'On call stat'!$S$3:$T$10,2,FALSE)))&gt;0,"D","DO"),"DO")),
IF($B28="Fan Hoi Wan, Ivy",IF(MOD(K$13,2)=0,"D",IFERROR(IF(SUMPRODUCT(($B$3:$AG$3=K$16)*($B$5:$AG$7=VLOOKUP($B28,'On call stat'!$S$3:$T$10,2,FALSE)))&gt;0,"D","DO"),"DO")),
IFERROR(IF(SUMPRODUCT(($B$3:$AG$3=K$16)*($B$5:$AG$7=VLOOKUP($B28,'On call stat'!$S$3:$T$10,2,FALSE)))&gt;0,"D","DO"),"DO"))))))),
IF($B28="Huang Huanrao, Yoyo",IF(MOD(K$13,2)=1,"D1","B6"),
IF($B28="Lee Ka Po, Kathy",IF(MOD(K$13,2)=0,"D1","B6"),
IFERROR(IF(SUMPRODUCT(($B$3:$AG$3=K$16)*($B$5:$AG$7=VLOOKUP($B28,'On call stat'!$S$3:$T$10,2,FALSE)))&gt;0,"E","D"),"D"))))))))</f>
        <v>D1</v>
      </c>
      <c r="L28" s="40" t="str">
        <f>IF(COUNTIF(PH!$A:$A,L$16)&gt;0,"PH",
IF(AND(SUMPRODUCT(($B$9:$AG$10=IFERROR(VLOOKUP($B28,'On call stat'!$S$3:$T$20,2,FALSE),""))*($B$3:$AG$3=L$16))&gt;0,OR(WEEKDAY(L$16,2)=6,),OR($B28="Chan, Man Wai",$B28="Ng Suet Ping, Yoko",$B28="Li Mui Ying",$B28="Lee Ka Po, Kathy",$B28="Huang Huanrao, Yoyo")),"HDAL",
IF(OR(WEEKDAY(L$16,2)=7,AND(WEEKDAY(L$16,2)=6,SUMPRODUCT(($B$9:$AG$10=IFERROR(VLOOKUP($B28,'On call stat'!$S$3:$T$20,2,FALSE),""))*($B$3:$AG$3=L$16))&gt;0)),"DO",
IF(SUMPRODUCT(($B$9:$AG$10=IFERROR(VLOOKUP($B28,'On call stat'!$S$3:$T$20,2,FALSE),""))*($B$3:$AG$3=L$16))&gt;0,"AL",
IF(WEEKDAY(L$16,2)=6,
IF($B28="Chan, Man Wai","HD",
IF($B28="Ng Suet Ping, Yoko","HD",
IF($B28="Li Mui Ying","HD1",
IF($B28="Huang Huanrao, Yoyo",IF(MOD(L$13,2)=1,"HD2",IFERROR(IF(SUMPRODUCT(($B$3:$AG$3=L$16)*($B$5:$AG$7=VLOOKUP($B28,'On call stat'!$S$3:$T$10,2,FALSE)))&gt;0,"D","DO"),"DO")),
IF($B28="Lee Ka Po, Kathy",IF(MOD(L$13,2)=0,"HD2",IFERROR(IF(SUMPRODUCT(($B$3:$AG$3=L$16)*($B$5:$AG$7=VLOOKUP($B28,'On call stat'!$S$3:$T$10,2,FALSE)))&gt;0,"D","DO"),"DO")),
IF($B28="Fan Hoi Wan, Ivy",IF(MOD(L$13,2)=0,"D",IFERROR(IF(SUMPRODUCT(($B$3:$AG$3=L$16)*($B$5:$AG$7=VLOOKUP($B28,'On call stat'!$S$3:$T$10,2,FALSE)))&gt;0,"D","DO"),"DO")),
IFERROR(IF(SUMPRODUCT(($B$3:$AG$3=L$16)*($B$5:$AG$7=VLOOKUP($B28,'On call stat'!$S$3:$T$10,2,FALSE)))&gt;0,"D","DO"),"DO"))))))),
IF($B28="Huang Huanrao, Yoyo",IF(MOD(L$13,2)=1,"D1","B6"),
IF($B28="Lee Ka Po, Kathy",IF(MOD(L$13,2)=0,"D1","B6"),
IFERROR(IF(SUMPRODUCT(($B$3:$AG$3=L$16)*($B$5:$AG$7=VLOOKUP($B28,'On call stat'!$S$3:$T$10,2,FALSE)))&gt;0,"E","D"),"D"))))))))</f>
        <v>D1</v>
      </c>
      <c r="M28" s="40" t="str">
        <f>IF(COUNTIF(PH!$A:$A,M$16)&gt;0,"PH",
IF(AND(SUMPRODUCT(($B$9:$AG$10=IFERROR(VLOOKUP($B28,'On call stat'!$S$3:$T$20,2,FALSE),""))*($B$3:$AG$3=M$16))&gt;0,OR(WEEKDAY(M$16,2)=6,),OR($B28="Chan, Man Wai",$B28="Ng Suet Ping, Yoko",$B28="Li Mui Ying",$B28="Lee Ka Po, Kathy",$B28="Huang Huanrao, Yoyo")),"HDAL",
IF(OR(WEEKDAY(M$16,2)=7,AND(WEEKDAY(M$16,2)=6,SUMPRODUCT(($B$9:$AG$10=IFERROR(VLOOKUP($B28,'On call stat'!$S$3:$T$20,2,FALSE),""))*($B$3:$AG$3=M$16))&gt;0)),"DO",
IF(SUMPRODUCT(($B$9:$AG$10=IFERROR(VLOOKUP($B28,'On call stat'!$S$3:$T$20,2,FALSE),""))*($B$3:$AG$3=M$16))&gt;0,"AL",
IF(WEEKDAY(M$16,2)=6,
IF($B28="Chan, Man Wai","HD",
IF($B28="Ng Suet Ping, Yoko","HD",
IF($B28="Li Mui Ying","HD1",
IF($B28="Huang Huanrao, Yoyo",IF(MOD(M$13,2)=1,"HD2",IFERROR(IF(SUMPRODUCT(($B$3:$AG$3=M$16)*($B$5:$AG$7=VLOOKUP($B28,'On call stat'!$S$3:$T$10,2,FALSE)))&gt;0,"D","DO"),"DO")),
IF($B28="Lee Ka Po, Kathy",IF(MOD(M$13,2)=0,"HD2",IFERROR(IF(SUMPRODUCT(($B$3:$AG$3=M$16)*($B$5:$AG$7=VLOOKUP($B28,'On call stat'!$S$3:$T$10,2,FALSE)))&gt;0,"D","DO"),"DO")),
IF($B28="Fan Hoi Wan, Ivy",IF(MOD(M$13,2)=0,"D",IFERROR(IF(SUMPRODUCT(($B$3:$AG$3=M$16)*($B$5:$AG$7=VLOOKUP($B28,'On call stat'!$S$3:$T$10,2,FALSE)))&gt;0,"D","DO"),"DO")),
IFERROR(IF(SUMPRODUCT(($B$3:$AG$3=M$16)*($B$5:$AG$7=VLOOKUP($B28,'On call stat'!$S$3:$T$10,2,FALSE)))&gt;0,"D","DO"),"DO"))))))),
IF($B28="Huang Huanrao, Yoyo",IF(MOD(M$13,2)=1,"D1","B6"),
IF($B28="Lee Ka Po, Kathy",IF(MOD(M$13,2)=0,"D1","B6"),
IFERROR(IF(SUMPRODUCT(($B$3:$AG$3=M$16)*($B$5:$AG$7=VLOOKUP($B28,'On call stat'!$S$3:$T$10,2,FALSE)))&gt;0,"E","D"),"D"))))))))</f>
        <v>D1</v>
      </c>
      <c r="N28" s="40" t="str">
        <f>IF(COUNTIF(PH!$A:$A,N$16)&gt;0,"PH",
IF(AND(SUMPRODUCT(($B$9:$AG$10=IFERROR(VLOOKUP($B28,'On call stat'!$S$3:$T$20,2,FALSE),""))*($B$3:$AG$3=N$16))&gt;0,OR(WEEKDAY(N$16,2)=6,),OR($B28="Chan, Man Wai",$B28="Ng Suet Ping, Yoko",$B28="Li Mui Ying",$B28="Lee Ka Po, Kathy",$B28="Huang Huanrao, Yoyo")),"HDAL",
IF(OR(WEEKDAY(N$16,2)=7,AND(WEEKDAY(N$16,2)=6,SUMPRODUCT(($B$9:$AG$10=IFERROR(VLOOKUP($B28,'On call stat'!$S$3:$T$20,2,FALSE),""))*($B$3:$AG$3=N$16))&gt;0)),"DO",
IF(SUMPRODUCT(($B$9:$AG$10=IFERROR(VLOOKUP($B28,'On call stat'!$S$3:$T$20,2,FALSE),""))*($B$3:$AG$3=N$16))&gt;0,"AL",
IF(WEEKDAY(N$16,2)=6,
IF($B28="Chan, Man Wai","HD",
IF($B28="Ng Suet Ping, Yoko","HD",
IF($B28="Li Mui Ying","HD1",
IF($B28="Huang Huanrao, Yoyo",IF(MOD(N$13,2)=1,"HD2",IFERROR(IF(SUMPRODUCT(($B$3:$AG$3=N$16)*($B$5:$AG$7=VLOOKUP($B28,'On call stat'!$S$3:$T$10,2,FALSE)))&gt;0,"D","DO"),"DO")),
IF($B28="Lee Ka Po, Kathy",IF(MOD(N$13,2)=0,"HD2",IFERROR(IF(SUMPRODUCT(($B$3:$AG$3=N$16)*($B$5:$AG$7=VLOOKUP($B28,'On call stat'!$S$3:$T$10,2,FALSE)))&gt;0,"D","DO"),"DO")),
IF($B28="Fan Hoi Wan, Ivy",IF(MOD(N$13,2)=0,"D",IFERROR(IF(SUMPRODUCT(($B$3:$AG$3=N$16)*($B$5:$AG$7=VLOOKUP($B28,'On call stat'!$S$3:$T$10,2,FALSE)))&gt;0,"D","DO"),"DO")),
IFERROR(IF(SUMPRODUCT(($B$3:$AG$3=N$16)*($B$5:$AG$7=VLOOKUP($B28,'On call stat'!$S$3:$T$10,2,FALSE)))&gt;0,"D","DO"),"DO"))))))),
IF($B28="Huang Huanrao, Yoyo",IF(MOD(N$13,2)=1,"D1","B6"),
IF($B28="Lee Ka Po, Kathy",IF(MOD(N$13,2)=0,"D1","B6"),
IFERROR(IF(SUMPRODUCT(($B$3:$AG$3=N$16)*($B$5:$AG$7=VLOOKUP($B28,'On call stat'!$S$3:$T$10,2,FALSE)))&gt;0,"E","D"),"D"))))))))</f>
        <v>HD2</v>
      </c>
      <c r="O28" s="40" t="str">
        <f>IF(COUNTIF(PH!$A:$A,O$16)&gt;0,"PH",
IF(AND(SUMPRODUCT(($B$9:$AG$10=IFERROR(VLOOKUP($B28,'On call stat'!$S$3:$T$20,2,FALSE),""))*($B$3:$AG$3=O$16))&gt;0,OR(WEEKDAY(O$16,2)=6,),OR($B28="Chan, Man Wai",$B28="Ng Suet Ping, Yoko",$B28="Li Mui Ying",$B28="Lee Ka Po, Kathy",$B28="Huang Huanrao, Yoyo")),"HDAL",
IF(OR(WEEKDAY(O$16,2)=7,AND(WEEKDAY(O$16,2)=6,SUMPRODUCT(($B$9:$AG$10=IFERROR(VLOOKUP($B28,'On call stat'!$S$3:$T$20,2,FALSE),""))*($B$3:$AG$3=O$16))&gt;0)),"DO",
IF(SUMPRODUCT(($B$9:$AG$10=IFERROR(VLOOKUP($B28,'On call stat'!$S$3:$T$20,2,FALSE),""))*($B$3:$AG$3=O$16))&gt;0,"AL",
IF(WEEKDAY(O$16,2)=6,
IF($B28="Chan, Man Wai","HD",
IF($B28="Ng Suet Ping, Yoko","HD",
IF($B28="Li Mui Ying","HD1",
IF($B28="Huang Huanrao, Yoyo",IF(MOD(O$13,2)=1,"HD2",IFERROR(IF(SUMPRODUCT(($B$3:$AG$3=O$16)*($B$5:$AG$7=VLOOKUP($B28,'On call stat'!$S$3:$T$10,2,FALSE)))&gt;0,"D","DO"),"DO")),
IF($B28="Lee Ka Po, Kathy",IF(MOD(O$13,2)=0,"HD2",IFERROR(IF(SUMPRODUCT(($B$3:$AG$3=O$16)*($B$5:$AG$7=VLOOKUP($B28,'On call stat'!$S$3:$T$10,2,FALSE)))&gt;0,"D","DO"),"DO")),
IF($B28="Fan Hoi Wan, Ivy",IF(MOD(O$13,2)=0,"D",IFERROR(IF(SUMPRODUCT(($B$3:$AG$3=O$16)*($B$5:$AG$7=VLOOKUP($B28,'On call stat'!$S$3:$T$10,2,FALSE)))&gt;0,"D","DO"),"DO")),
IFERROR(IF(SUMPRODUCT(($B$3:$AG$3=O$16)*($B$5:$AG$7=VLOOKUP($B28,'On call stat'!$S$3:$T$10,2,FALSE)))&gt;0,"D","DO"),"DO"))))))),
IF($B28="Huang Huanrao, Yoyo",IF(MOD(O$13,2)=1,"D1","B6"),
IF($B28="Lee Ka Po, Kathy",IF(MOD(O$13,2)=0,"D1","B6"),
IFERROR(IF(SUMPRODUCT(($B$3:$AG$3=O$16)*($B$5:$AG$7=VLOOKUP($B28,'On call stat'!$S$3:$T$10,2,FALSE)))&gt;0,"E","D"),"D"))))))))</f>
        <v>DO</v>
      </c>
      <c r="P28" s="40" t="str">
        <f>IF(COUNTIF(PH!$A:$A,P$16)&gt;0,"PH",
IF(AND(SUMPRODUCT(($B$9:$AG$10=IFERROR(VLOOKUP($B28,'On call stat'!$S$3:$T$20,2,FALSE),""))*($B$3:$AG$3=P$16))&gt;0,OR(WEEKDAY(P$16,2)=6,),OR($B28="Chan, Man Wai",$B28="Ng Suet Ping, Yoko",$B28="Li Mui Ying",$B28="Lee Ka Po, Kathy",$B28="Huang Huanrao, Yoyo")),"HDAL",
IF(OR(WEEKDAY(P$16,2)=7,AND(WEEKDAY(P$16,2)=6,SUMPRODUCT(($B$9:$AG$10=IFERROR(VLOOKUP($B28,'On call stat'!$S$3:$T$20,2,FALSE),""))*($B$3:$AG$3=P$16))&gt;0)),"DO",
IF(SUMPRODUCT(($B$9:$AG$10=IFERROR(VLOOKUP($B28,'On call stat'!$S$3:$T$20,2,FALSE),""))*($B$3:$AG$3=P$16))&gt;0,"AL",
IF(WEEKDAY(P$16,2)=6,
IF($B28="Chan, Man Wai","HD",
IF($B28="Ng Suet Ping, Yoko","HD",
IF($B28="Li Mui Ying","HD1",
IF($B28="Huang Huanrao, Yoyo",IF(MOD(P$13,2)=1,"HD2",IFERROR(IF(SUMPRODUCT(($B$3:$AG$3=P$16)*($B$5:$AG$7=VLOOKUP($B28,'On call stat'!$S$3:$T$10,2,FALSE)))&gt;0,"D","DO"),"DO")),
IF($B28="Lee Ka Po, Kathy",IF(MOD(P$13,2)=0,"HD2",IFERROR(IF(SUMPRODUCT(($B$3:$AG$3=P$16)*($B$5:$AG$7=VLOOKUP($B28,'On call stat'!$S$3:$T$10,2,FALSE)))&gt;0,"D","DO"),"DO")),
IF($B28="Fan Hoi Wan, Ivy",IF(MOD(P$13,2)=0,"D",IFERROR(IF(SUMPRODUCT(($B$3:$AG$3=P$16)*($B$5:$AG$7=VLOOKUP($B28,'On call stat'!$S$3:$T$10,2,FALSE)))&gt;0,"D","DO"),"DO")),
IFERROR(IF(SUMPRODUCT(($B$3:$AG$3=P$16)*($B$5:$AG$7=VLOOKUP($B28,'On call stat'!$S$3:$T$10,2,FALSE)))&gt;0,"D","DO"),"DO"))))))),
IF($B28="Huang Huanrao, Yoyo",IF(MOD(P$13,2)=1,"D1","B6"),
IF($B28="Lee Ka Po, Kathy",IF(MOD(P$13,2)=0,"D1","B6"),
IFERROR(IF(SUMPRODUCT(($B$3:$AG$3=P$16)*($B$5:$AG$7=VLOOKUP($B28,'On call stat'!$S$3:$T$10,2,FALSE)))&gt;0,"E","D"),"D"))))))))</f>
        <v>D1</v>
      </c>
      <c r="Q28" s="40" t="str">
        <f>IF(COUNTIF(PH!$A:$A,Q$16)&gt;0,"PH",
IF(AND(SUMPRODUCT(($B$9:$AG$10=IFERROR(VLOOKUP($B28,'On call stat'!$S$3:$T$20,2,FALSE),""))*($B$3:$AG$3=Q$16))&gt;0,OR(WEEKDAY(Q$16,2)=6,),OR($B28="Chan, Man Wai",$B28="Ng Suet Ping, Yoko",$B28="Li Mui Ying",$B28="Lee Ka Po, Kathy",$B28="Huang Huanrao, Yoyo")),"HDAL",
IF(OR(WEEKDAY(Q$16,2)=7,AND(WEEKDAY(Q$16,2)=6,SUMPRODUCT(($B$9:$AG$10=IFERROR(VLOOKUP($B28,'On call stat'!$S$3:$T$20,2,FALSE),""))*($B$3:$AG$3=Q$16))&gt;0)),"DO",
IF(SUMPRODUCT(($B$9:$AG$10=IFERROR(VLOOKUP($B28,'On call stat'!$S$3:$T$20,2,FALSE),""))*($B$3:$AG$3=Q$16))&gt;0,"AL",
IF(WEEKDAY(Q$16,2)=6,
IF($B28="Chan, Man Wai","HD",
IF($B28="Ng Suet Ping, Yoko","HD",
IF($B28="Li Mui Ying","HD1",
IF($B28="Huang Huanrao, Yoyo",IF(MOD(Q$13,2)=1,"HD2",IFERROR(IF(SUMPRODUCT(($B$3:$AG$3=Q$16)*($B$5:$AG$7=VLOOKUP($B28,'On call stat'!$S$3:$T$10,2,FALSE)))&gt;0,"D","DO"),"DO")),
IF($B28="Lee Ka Po, Kathy",IF(MOD(Q$13,2)=0,"HD2",IFERROR(IF(SUMPRODUCT(($B$3:$AG$3=Q$16)*($B$5:$AG$7=VLOOKUP($B28,'On call stat'!$S$3:$T$10,2,FALSE)))&gt;0,"D","DO"),"DO")),
IF($B28="Fan Hoi Wan, Ivy",IF(MOD(Q$13,2)=0,"D",IFERROR(IF(SUMPRODUCT(($B$3:$AG$3=Q$16)*($B$5:$AG$7=VLOOKUP($B28,'On call stat'!$S$3:$T$10,2,FALSE)))&gt;0,"D","DO"),"DO")),
IFERROR(IF(SUMPRODUCT(($B$3:$AG$3=Q$16)*($B$5:$AG$7=VLOOKUP($B28,'On call stat'!$S$3:$T$10,2,FALSE)))&gt;0,"D","DO"),"DO"))))))),
IF($B28="Huang Huanrao, Yoyo",IF(MOD(Q$13,2)=1,"D1","B6"),
IF($B28="Lee Ka Po, Kathy",IF(MOD(Q$13,2)=0,"D1","B6"),
IFERROR(IF(SUMPRODUCT(($B$3:$AG$3=Q$16)*($B$5:$AG$7=VLOOKUP($B28,'On call stat'!$S$3:$T$10,2,FALSE)))&gt;0,"E","D"),"D"))))))))</f>
        <v>D1</v>
      </c>
      <c r="R28" s="40" t="str">
        <f>IF(COUNTIF(PH!$A:$A,R$16)&gt;0,"PH",
IF(AND(SUMPRODUCT(($B$9:$AG$10=IFERROR(VLOOKUP($B28,'On call stat'!$S$3:$T$20,2,FALSE),""))*($B$3:$AG$3=R$16))&gt;0,OR(WEEKDAY(R$16,2)=6,),OR($B28="Chan, Man Wai",$B28="Ng Suet Ping, Yoko",$B28="Li Mui Ying",$B28="Lee Ka Po, Kathy",$B28="Huang Huanrao, Yoyo")),"HDAL",
IF(OR(WEEKDAY(R$16,2)=7,AND(WEEKDAY(R$16,2)=6,SUMPRODUCT(($B$9:$AG$10=IFERROR(VLOOKUP($B28,'On call stat'!$S$3:$T$20,2,FALSE),""))*($B$3:$AG$3=R$16))&gt;0)),"DO",
IF(SUMPRODUCT(($B$9:$AG$10=IFERROR(VLOOKUP($B28,'On call stat'!$S$3:$T$20,2,FALSE),""))*($B$3:$AG$3=R$16))&gt;0,"AL",
IF(WEEKDAY(R$16,2)=6,
IF($B28="Chan, Man Wai","HD",
IF($B28="Ng Suet Ping, Yoko","HD",
IF($B28="Li Mui Ying","HD1",
IF($B28="Huang Huanrao, Yoyo",IF(MOD(R$13,2)=1,"HD2",IFERROR(IF(SUMPRODUCT(($B$3:$AG$3=R$16)*($B$5:$AG$7=VLOOKUP($B28,'On call stat'!$S$3:$T$10,2,FALSE)))&gt;0,"D","DO"),"DO")),
IF($B28="Lee Ka Po, Kathy",IF(MOD(R$13,2)=0,"HD2",IFERROR(IF(SUMPRODUCT(($B$3:$AG$3=R$16)*($B$5:$AG$7=VLOOKUP($B28,'On call stat'!$S$3:$T$10,2,FALSE)))&gt;0,"D","DO"),"DO")),
IF($B28="Fan Hoi Wan, Ivy",IF(MOD(R$13,2)=0,"D",IFERROR(IF(SUMPRODUCT(($B$3:$AG$3=R$16)*($B$5:$AG$7=VLOOKUP($B28,'On call stat'!$S$3:$T$10,2,FALSE)))&gt;0,"D","DO"),"DO")),
IFERROR(IF(SUMPRODUCT(($B$3:$AG$3=R$16)*($B$5:$AG$7=VLOOKUP($B28,'On call stat'!$S$3:$T$10,2,FALSE)))&gt;0,"D","DO"),"DO"))))))),
IF($B28="Huang Huanrao, Yoyo",IF(MOD(R$13,2)=1,"D1","B6"),
IF($B28="Lee Ka Po, Kathy",IF(MOD(R$13,2)=0,"D1","B6"),
IFERROR(IF(SUMPRODUCT(($B$3:$AG$3=R$16)*($B$5:$AG$7=VLOOKUP($B28,'On call stat'!$S$3:$T$10,2,FALSE)))&gt;0,"E","D"),"D"))))))))</f>
        <v>D1</v>
      </c>
      <c r="S28" s="40" t="str">
        <f>IF(COUNTIF(PH!$A:$A,S$16)&gt;0,"PH",
IF(AND(SUMPRODUCT(($B$9:$AG$10=IFERROR(VLOOKUP($B28,'On call stat'!$S$3:$T$20,2,FALSE),""))*($B$3:$AG$3=S$16))&gt;0,OR(WEEKDAY(S$16,2)=6,),OR($B28="Chan, Man Wai",$B28="Ng Suet Ping, Yoko",$B28="Li Mui Ying",$B28="Lee Ka Po, Kathy",$B28="Huang Huanrao, Yoyo")),"HDAL",
IF(OR(WEEKDAY(S$16,2)=7,AND(WEEKDAY(S$16,2)=6,SUMPRODUCT(($B$9:$AG$10=IFERROR(VLOOKUP($B28,'On call stat'!$S$3:$T$20,2,FALSE),""))*($B$3:$AG$3=S$16))&gt;0)),"DO",
IF(SUMPRODUCT(($B$9:$AG$10=IFERROR(VLOOKUP($B28,'On call stat'!$S$3:$T$20,2,FALSE),""))*($B$3:$AG$3=S$16))&gt;0,"AL",
IF(WEEKDAY(S$16,2)=6,
IF($B28="Chan, Man Wai","HD",
IF($B28="Ng Suet Ping, Yoko","HD",
IF($B28="Li Mui Ying","HD1",
IF($B28="Huang Huanrao, Yoyo",IF(MOD(S$13,2)=1,"HD2",IFERROR(IF(SUMPRODUCT(($B$3:$AG$3=S$16)*($B$5:$AG$7=VLOOKUP($B28,'On call stat'!$S$3:$T$10,2,FALSE)))&gt;0,"D","DO"),"DO")),
IF($B28="Lee Ka Po, Kathy",IF(MOD(S$13,2)=0,"HD2",IFERROR(IF(SUMPRODUCT(($B$3:$AG$3=S$16)*($B$5:$AG$7=VLOOKUP($B28,'On call stat'!$S$3:$T$10,2,FALSE)))&gt;0,"D","DO"),"DO")),
IF($B28="Fan Hoi Wan, Ivy",IF(MOD(S$13,2)=0,"D",IFERROR(IF(SUMPRODUCT(($B$3:$AG$3=S$16)*($B$5:$AG$7=VLOOKUP($B28,'On call stat'!$S$3:$T$10,2,FALSE)))&gt;0,"D","DO"),"DO")),
IFERROR(IF(SUMPRODUCT(($B$3:$AG$3=S$16)*($B$5:$AG$7=VLOOKUP($B28,'On call stat'!$S$3:$T$10,2,FALSE)))&gt;0,"D","DO"),"DO"))))))),
IF($B28="Huang Huanrao, Yoyo",IF(MOD(S$13,2)=1,"D1","B6"),
IF($B28="Lee Ka Po, Kathy",IF(MOD(S$13,2)=0,"D1","B6"),
IFERROR(IF(SUMPRODUCT(($B$3:$AG$3=S$16)*($B$5:$AG$7=VLOOKUP($B28,'On call stat'!$S$3:$T$10,2,FALSE)))&gt;0,"E","D"),"D"))))))))</f>
        <v>D1</v>
      </c>
      <c r="T28" s="40" t="str">
        <f>IF(COUNTIF(PH!$A:$A,T$16)&gt;0,"PH",
IF(AND(SUMPRODUCT(($B$9:$AG$10=IFERROR(VLOOKUP($B28,'On call stat'!$S$3:$T$20,2,FALSE),""))*($B$3:$AG$3=T$16))&gt;0,OR(WEEKDAY(T$16,2)=6,),OR($B28="Chan, Man Wai",$B28="Ng Suet Ping, Yoko",$B28="Li Mui Ying",$B28="Lee Ka Po, Kathy",$B28="Huang Huanrao, Yoyo")),"HDAL",
IF(OR(WEEKDAY(T$16,2)=7,AND(WEEKDAY(T$16,2)=6,SUMPRODUCT(($B$9:$AG$10=IFERROR(VLOOKUP($B28,'On call stat'!$S$3:$T$20,2,FALSE),""))*($B$3:$AG$3=T$16))&gt;0)),"DO",
IF(SUMPRODUCT(($B$9:$AG$10=IFERROR(VLOOKUP($B28,'On call stat'!$S$3:$T$20,2,FALSE),""))*($B$3:$AG$3=T$16))&gt;0,"AL",
IF(WEEKDAY(T$16,2)=6,
IF($B28="Chan, Man Wai","HD",
IF($B28="Ng Suet Ping, Yoko","HD",
IF($B28="Li Mui Ying","HD1",
IF($B28="Huang Huanrao, Yoyo",IF(MOD(T$13,2)=1,"HD2",IFERROR(IF(SUMPRODUCT(($B$3:$AG$3=T$16)*($B$5:$AG$7=VLOOKUP($B28,'On call stat'!$S$3:$T$10,2,FALSE)))&gt;0,"D","DO"),"DO")),
IF($B28="Lee Ka Po, Kathy",IF(MOD(T$13,2)=0,"HD2",IFERROR(IF(SUMPRODUCT(($B$3:$AG$3=T$16)*($B$5:$AG$7=VLOOKUP($B28,'On call stat'!$S$3:$T$10,2,FALSE)))&gt;0,"D","DO"),"DO")),
IF($B28="Fan Hoi Wan, Ivy",IF(MOD(T$13,2)=0,"D",IFERROR(IF(SUMPRODUCT(($B$3:$AG$3=T$16)*($B$5:$AG$7=VLOOKUP($B28,'On call stat'!$S$3:$T$10,2,FALSE)))&gt;0,"D","DO"),"DO")),
IFERROR(IF(SUMPRODUCT(($B$3:$AG$3=T$16)*($B$5:$AG$7=VLOOKUP($B28,'On call stat'!$S$3:$T$10,2,FALSE)))&gt;0,"D","DO"),"DO"))))))),
IF($B28="Huang Huanrao, Yoyo",IF(MOD(T$13,2)=1,"D1","B6"),
IF($B28="Lee Ka Po, Kathy",IF(MOD(T$13,2)=0,"D1","B6"),
IFERROR(IF(SUMPRODUCT(($B$3:$AG$3=T$16)*($B$5:$AG$7=VLOOKUP($B28,'On call stat'!$S$3:$T$10,2,FALSE)))&gt;0,"E","D"),"D"))))))))</f>
        <v>D1</v>
      </c>
      <c r="U28" s="40" t="str">
        <f>IF(COUNTIF(PH!$A:$A,U$16)&gt;0,"PH",
IF(AND(SUMPRODUCT(($B$9:$AG$10=IFERROR(VLOOKUP($B28,'On call stat'!$S$3:$T$20,2,FALSE),""))*($B$3:$AG$3=U$16))&gt;0,OR(WEEKDAY(U$16,2)=6,),OR($B28="Chan, Man Wai",$B28="Ng Suet Ping, Yoko",$B28="Li Mui Ying",$B28="Lee Ka Po, Kathy",$B28="Huang Huanrao, Yoyo")),"HDAL",
IF(OR(WEEKDAY(U$16,2)=7,AND(WEEKDAY(U$16,2)=6,SUMPRODUCT(($B$9:$AG$10=IFERROR(VLOOKUP($B28,'On call stat'!$S$3:$T$20,2,FALSE),""))*($B$3:$AG$3=U$16))&gt;0)),"DO",
IF(SUMPRODUCT(($B$9:$AG$10=IFERROR(VLOOKUP($B28,'On call stat'!$S$3:$T$20,2,FALSE),""))*($B$3:$AG$3=U$16))&gt;0,"AL",
IF(WEEKDAY(U$16,2)=6,
IF($B28="Chan, Man Wai","HD",
IF($B28="Ng Suet Ping, Yoko","HD",
IF($B28="Li Mui Ying","HD1",
IF($B28="Huang Huanrao, Yoyo",IF(MOD(U$13,2)=1,"HD2",IFERROR(IF(SUMPRODUCT(($B$3:$AG$3=U$16)*($B$5:$AG$7=VLOOKUP($B28,'On call stat'!$S$3:$T$10,2,FALSE)))&gt;0,"D","DO"),"DO")),
IF($B28="Lee Ka Po, Kathy",IF(MOD(U$13,2)=0,"HD2",IFERROR(IF(SUMPRODUCT(($B$3:$AG$3=U$16)*($B$5:$AG$7=VLOOKUP($B28,'On call stat'!$S$3:$T$10,2,FALSE)))&gt;0,"D","DO"),"DO")),
IF($B28="Fan Hoi Wan, Ivy",IF(MOD(U$13,2)=0,"D",IFERROR(IF(SUMPRODUCT(($B$3:$AG$3=U$16)*($B$5:$AG$7=VLOOKUP($B28,'On call stat'!$S$3:$T$10,2,FALSE)))&gt;0,"D","DO"),"DO")),
IFERROR(IF(SUMPRODUCT(($B$3:$AG$3=U$16)*($B$5:$AG$7=VLOOKUP($B28,'On call stat'!$S$3:$T$10,2,FALSE)))&gt;0,"D","DO"),"DO"))))))),
IF($B28="Huang Huanrao, Yoyo",IF(MOD(U$13,2)=1,"D1","B6"),
IF($B28="Lee Ka Po, Kathy",IF(MOD(U$13,2)=0,"D1","B6"),
IFERROR(IF(SUMPRODUCT(($B$3:$AG$3=U$16)*($B$5:$AG$7=VLOOKUP($B28,'On call stat'!$S$3:$T$10,2,FALSE)))&gt;0,"E","D"),"D"))))))))</f>
        <v>DO</v>
      </c>
      <c r="V28" s="40" t="str">
        <f>IF(COUNTIF(PH!$A:$A,V$16)&gt;0,"PH",
IF(AND(SUMPRODUCT(($B$9:$AG$10=IFERROR(VLOOKUP($B28,'On call stat'!$S$3:$T$20,2,FALSE),""))*($B$3:$AG$3=V$16))&gt;0,OR(WEEKDAY(V$16,2)=6,),OR($B28="Chan, Man Wai",$B28="Ng Suet Ping, Yoko",$B28="Li Mui Ying",$B28="Lee Ka Po, Kathy",$B28="Huang Huanrao, Yoyo")),"HDAL",
IF(OR(WEEKDAY(V$16,2)=7,AND(WEEKDAY(V$16,2)=6,SUMPRODUCT(($B$9:$AG$10=IFERROR(VLOOKUP($B28,'On call stat'!$S$3:$T$20,2,FALSE),""))*($B$3:$AG$3=V$16))&gt;0)),"DO",
IF(SUMPRODUCT(($B$9:$AG$10=IFERROR(VLOOKUP($B28,'On call stat'!$S$3:$T$20,2,FALSE),""))*($B$3:$AG$3=V$16))&gt;0,"AL",
IF(WEEKDAY(V$16,2)=6,
IF($B28="Chan, Man Wai","HD",
IF($B28="Ng Suet Ping, Yoko","HD",
IF($B28="Li Mui Ying","HD1",
IF($B28="Huang Huanrao, Yoyo",IF(MOD(V$13,2)=1,"HD2",IFERROR(IF(SUMPRODUCT(($B$3:$AG$3=V$16)*($B$5:$AG$7=VLOOKUP($B28,'On call stat'!$S$3:$T$10,2,FALSE)))&gt;0,"D","DO"),"DO")),
IF($B28="Lee Ka Po, Kathy",IF(MOD(V$13,2)=0,"HD2",IFERROR(IF(SUMPRODUCT(($B$3:$AG$3=V$16)*($B$5:$AG$7=VLOOKUP($B28,'On call stat'!$S$3:$T$10,2,FALSE)))&gt;0,"D","DO"),"DO")),
IF($B28="Fan Hoi Wan, Ivy",IF(MOD(V$13,2)=0,"D",IFERROR(IF(SUMPRODUCT(($B$3:$AG$3=V$16)*($B$5:$AG$7=VLOOKUP($B28,'On call stat'!$S$3:$T$10,2,FALSE)))&gt;0,"D","DO"),"DO")),
IFERROR(IF(SUMPRODUCT(($B$3:$AG$3=V$16)*($B$5:$AG$7=VLOOKUP($B28,'On call stat'!$S$3:$T$10,2,FALSE)))&gt;0,"D","DO"),"DO"))))))),
IF($B28="Huang Huanrao, Yoyo",IF(MOD(V$13,2)=1,"D1","B6"),
IF($B28="Lee Ka Po, Kathy",IF(MOD(V$13,2)=0,"D1","B6"),
IFERROR(IF(SUMPRODUCT(($B$3:$AG$3=V$16)*($B$5:$AG$7=VLOOKUP($B28,'On call stat'!$S$3:$T$10,2,FALSE)))&gt;0,"E","D"),"D"))))))))</f>
        <v>DO</v>
      </c>
      <c r="W28" s="40" t="str">
        <f>IF(COUNTIF(PH!$A:$A,W$16)&gt;0,"PH",
IF(AND(SUMPRODUCT(($B$9:$AG$10=IFERROR(VLOOKUP($B28,'On call stat'!$S$3:$T$20,2,FALSE),""))*($B$3:$AG$3=W$16))&gt;0,OR(WEEKDAY(W$16,2)=6,),OR($B28="Chan, Man Wai",$B28="Ng Suet Ping, Yoko",$B28="Li Mui Ying",$B28="Lee Ka Po, Kathy",$B28="Huang Huanrao, Yoyo")),"HDAL",
IF(OR(WEEKDAY(W$16,2)=7,AND(WEEKDAY(W$16,2)=6,SUMPRODUCT(($B$9:$AG$10=IFERROR(VLOOKUP($B28,'On call stat'!$S$3:$T$20,2,FALSE),""))*($B$3:$AG$3=W$16))&gt;0)),"DO",
IF(SUMPRODUCT(($B$9:$AG$10=IFERROR(VLOOKUP($B28,'On call stat'!$S$3:$T$20,2,FALSE),""))*($B$3:$AG$3=W$16))&gt;0,"AL",
IF(WEEKDAY(W$16,2)=6,
IF($B28="Chan, Man Wai","HD",
IF($B28="Ng Suet Ping, Yoko","HD",
IF($B28="Li Mui Ying","HD1",
IF($B28="Huang Huanrao, Yoyo",IF(MOD(W$13,2)=1,"HD2",IFERROR(IF(SUMPRODUCT(($B$3:$AG$3=W$16)*($B$5:$AG$7=VLOOKUP($B28,'On call stat'!$S$3:$T$10,2,FALSE)))&gt;0,"D","DO"),"DO")),
IF($B28="Lee Ka Po, Kathy",IF(MOD(W$13,2)=0,"HD2",IFERROR(IF(SUMPRODUCT(($B$3:$AG$3=W$16)*($B$5:$AG$7=VLOOKUP($B28,'On call stat'!$S$3:$T$10,2,FALSE)))&gt;0,"D","DO"),"DO")),
IF($B28="Fan Hoi Wan, Ivy",IF(MOD(W$13,2)=0,"D",IFERROR(IF(SUMPRODUCT(($B$3:$AG$3=W$16)*($B$5:$AG$7=VLOOKUP($B28,'On call stat'!$S$3:$T$10,2,FALSE)))&gt;0,"D","DO"),"DO")),
IFERROR(IF(SUMPRODUCT(($B$3:$AG$3=W$16)*($B$5:$AG$7=VLOOKUP($B28,'On call stat'!$S$3:$T$10,2,FALSE)))&gt;0,"D","DO"),"DO"))))))),
IF($B28="Huang Huanrao, Yoyo",IF(MOD(W$13,2)=1,"D1","B6"),
IF($B28="Lee Ka Po, Kathy",IF(MOD(W$13,2)=0,"D1","B6"),
IFERROR(IF(SUMPRODUCT(($B$3:$AG$3=W$16)*($B$5:$AG$7=VLOOKUP($B28,'On call stat'!$S$3:$T$10,2,FALSE)))&gt;0,"E","D"),"D"))))))))</f>
        <v>D1</v>
      </c>
      <c r="X28" s="40" t="str">
        <f>IF(COUNTIF(PH!$A:$A,X$16)&gt;0,"PH",
IF(AND(SUMPRODUCT(($B$9:$AG$10=IFERROR(VLOOKUP($B28,'On call stat'!$S$3:$T$20,2,FALSE),""))*($B$3:$AG$3=X$16))&gt;0,OR(WEEKDAY(X$16,2)=6,),OR($B28="Chan, Man Wai",$B28="Ng Suet Ping, Yoko",$B28="Li Mui Ying",$B28="Lee Ka Po, Kathy",$B28="Huang Huanrao, Yoyo")),"HDAL",
IF(OR(WEEKDAY(X$16,2)=7,AND(WEEKDAY(X$16,2)=6,SUMPRODUCT(($B$9:$AG$10=IFERROR(VLOOKUP($B28,'On call stat'!$S$3:$T$20,2,FALSE),""))*($B$3:$AG$3=X$16))&gt;0)),"DO",
IF(SUMPRODUCT(($B$9:$AG$10=IFERROR(VLOOKUP($B28,'On call stat'!$S$3:$T$20,2,FALSE),""))*($B$3:$AG$3=X$16))&gt;0,"AL",
IF(WEEKDAY(X$16,2)=6,
IF($B28="Chan, Man Wai","HD",
IF($B28="Ng Suet Ping, Yoko","HD",
IF($B28="Li Mui Ying","HD1",
IF($B28="Huang Huanrao, Yoyo",IF(MOD(X$13,2)=1,"HD2",IFERROR(IF(SUMPRODUCT(($B$3:$AG$3=X$16)*($B$5:$AG$7=VLOOKUP($B28,'On call stat'!$S$3:$T$10,2,FALSE)))&gt;0,"D","DO"),"DO")),
IF($B28="Lee Ka Po, Kathy",IF(MOD(X$13,2)=0,"HD2",IFERROR(IF(SUMPRODUCT(($B$3:$AG$3=X$16)*($B$5:$AG$7=VLOOKUP($B28,'On call stat'!$S$3:$T$10,2,FALSE)))&gt;0,"D","DO"),"DO")),
IF($B28="Fan Hoi Wan, Ivy",IF(MOD(X$13,2)=0,"D",IFERROR(IF(SUMPRODUCT(($B$3:$AG$3=X$16)*($B$5:$AG$7=VLOOKUP($B28,'On call stat'!$S$3:$T$10,2,FALSE)))&gt;0,"D","DO"),"DO")),
IFERROR(IF(SUMPRODUCT(($B$3:$AG$3=X$16)*($B$5:$AG$7=VLOOKUP($B28,'On call stat'!$S$3:$T$10,2,FALSE)))&gt;0,"D","DO"),"DO"))))))),
IF($B28="Huang Huanrao, Yoyo",IF(MOD(X$13,2)=1,"D1","B6"),
IF($B28="Lee Ka Po, Kathy",IF(MOD(X$13,2)=0,"D1","B6"),
IFERROR(IF(SUMPRODUCT(($B$3:$AG$3=X$16)*($B$5:$AG$7=VLOOKUP($B28,'On call stat'!$S$3:$T$10,2,FALSE)))&gt;0,"E","D"),"D"))))))))</f>
        <v>D1</v>
      </c>
      <c r="Y28" s="40" t="str">
        <f>IF(COUNTIF(PH!$A:$A,Y$16)&gt;0,"PH",
IF(AND(SUMPRODUCT(($B$9:$AG$10=IFERROR(VLOOKUP($B28,'On call stat'!$S$3:$T$20,2,FALSE),""))*($B$3:$AG$3=Y$16))&gt;0,OR(WEEKDAY(Y$16,2)=6,),OR($B28="Chan, Man Wai",$B28="Ng Suet Ping, Yoko",$B28="Li Mui Ying",$B28="Lee Ka Po, Kathy",$B28="Huang Huanrao, Yoyo")),"HDAL",
IF(OR(WEEKDAY(Y$16,2)=7,AND(WEEKDAY(Y$16,2)=6,SUMPRODUCT(($B$9:$AG$10=IFERROR(VLOOKUP($B28,'On call stat'!$S$3:$T$20,2,FALSE),""))*($B$3:$AG$3=Y$16))&gt;0)),"DO",
IF(SUMPRODUCT(($B$9:$AG$10=IFERROR(VLOOKUP($B28,'On call stat'!$S$3:$T$20,2,FALSE),""))*($B$3:$AG$3=Y$16))&gt;0,"AL",
IF(WEEKDAY(Y$16,2)=6,
IF($B28="Chan, Man Wai","HD",
IF($B28="Ng Suet Ping, Yoko","HD",
IF($B28="Li Mui Ying","HD1",
IF($B28="Huang Huanrao, Yoyo",IF(MOD(Y$13,2)=1,"HD2",IFERROR(IF(SUMPRODUCT(($B$3:$AG$3=Y$16)*($B$5:$AG$7=VLOOKUP($B28,'On call stat'!$S$3:$T$10,2,FALSE)))&gt;0,"D","DO"),"DO")),
IF($B28="Lee Ka Po, Kathy",IF(MOD(Y$13,2)=0,"HD2",IFERROR(IF(SUMPRODUCT(($B$3:$AG$3=Y$16)*($B$5:$AG$7=VLOOKUP($B28,'On call stat'!$S$3:$T$10,2,FALSE)))&gt;0,"D","DO"),"DO")),
IF($B28="Fan Hoi Wan, Ivy",IF(MOD(Y$13,2)=0,"D",IFERROR(IF(SUMPRODUCT(($B$3:$AG$3=Y$16)*($B$5:$AG$7=VLOOKUP($B28,'On call stat'!$S$3:$T$10,2,FALSE)))&gt;0,"D","DO"),"DO")),
IFERROR(IF(SUMPRODUCT(($B$3:$AG$3=Y$16)*($B$5:$AG$7=VLOOKUP($B28,'On call stat'!$S$3:$T$10,2,FALSE)))&gt;0,"D","DO"),"DO"))))))),
IF($B28="Huang Huanrao, Yoyo",IF(MOD(Y$13,2)=1,"D1","B6"),
IF($B28="Lee Ka Po, Kathy",IF(MOD(Y$13,2)=0,"D1","B6"),
IFERROR(IF(SUMPRODUCT(($B$3:$AG$3=Y$16)*($B$5:$AG$7=VLOOKUP($B28,'On call stat'!$S$3:$T$10,2,FALSE)))&gt;0,"E","D"),"D"))))))))</f>
        <v>D1</v>
      </c>
      <c r="Z28" s="40" t="str">
        <f>IF(COUNTIF(PH!$A:$A,Z$16)&gt;0,"PH",
IF(AND(SUMPRODUCT(($B$9:$AG$10=IFERROR(VLOOKUP($B28,'On call stat'!$S$3:$T$20,2,FALSE),""))*($B$3:$AG$3=Z$16))&gt;0,OR(WEEKDAY(Z$16,2)=6,),OR($B28="Chan, Man Wai",$B28="Ng Suet Ping, Yoko",$B28="Li Mui Ying",$B28="Lee Ka Po, Kathy",$B28="Huang Huanrao, Yoyo")),"HDAL",
IF(OR(WEEKDAY(Z$16,2)=7,AND(WEEKDAY(Z$16,2)=6,SUMPRODUCT(($B$9:$AG$10=IFERROR(VLOOKUP($B28,'On call stat'!$S$3:$T$20,2,FALSE),""))*($B$3:$AG$3=Z$16))&gt;0)),"DO",
IF(SUMPRODUCT(($B$9:$AG$10=IFERROR(VLOOKUP($B28,'On call stat'!$S$3:$T$20,2,FALSE),""))*($B$3:$AG$3=Z$16))&gt;0,"AL",
IF(WEEKDAY(Z$16,2)=6,
IF($B28="Chan, Man Wai","HD",
IF($B28="Ng Suet Ping, Yoko","HD",
IF($B28="Li Mui Ying","HD1",
IF($B28="Huang Huanrao, Yoyo",IF(MOD(Z$13,2)=1,"HD2",IFERROR(IF(SUMPRODUCT(($B$3:$AG$3=Z$16)*($B$5:$AG$7=VLOOKUP($B28,'On call stat'!$S$3:$T$10,2,FALSE)))&gt;0,"D","DO"),"DO")),
IF($B28="Lee Ka Po, Kathy",IF(MOD(Z$13,2)=0,"HD2",IFERROR(IF(SUMPRODUCT(($B$3:$AG$3=Z$16)*($B$5:$AG$7=VLOOKUP($B28,'On call stat'!$S$3:$T$10,2,FALSE)))&gt;0,"D","DO"),"DO")),
IF($B28="Fan Hoi Wan, Ivy",IF(MOD(Z$13,2)=0,"D",IFERROR(IF(SUMPRODUCT(($B$3:$AG$3=Z$16)*($B$5:$AG$7=VLOOKUP($B28,'On call stat'!$S$3:$T$10,2,FALSE)))&gt;0,"D","DO"),"DO")),
IFERROR(IF(SUMPRODUCT(($B$3:$AG$3=Z$16)*($B$5:$AG$7=VLOOKUP($B28,'On call stat'!$S$3:$T$10,2,FALSE)))&gt;0,"D","DO"),"DO"))))))),
IF($B28="Huang Huanrao, Yoyo",IF(MOD(Z$13,2)=1,"D1","B6"),
IF($B28="Lee Ka Po, Kathy",IF(MOD(Z$13,2)=0,"D1","B6"),
IFERROR(IF(SUMPRODUCT(($B$3:$AG$3=Z$16)*($B$5:$AG$7=VLOOKUP($B28,'On call stat'!$S$3:$T$10,2,FALSE)))&gt;0,"E","D"),"D"))))))))</f>
        <v>D1</v>
      </c>
      <c r="AA28" s="40" t="str">
        <f>IF(COUNTIF(PH!$A:$A,AA$16)&gt;0,"PH",
IF(AND(SUMPRODUCT(($B$9:$AG$10=IFERROR(VLOOKUP($B28,'On call stat'!$S$3:$T$20,2,FALSE),""))*($B$3:$AG$3=AA$16))&gt;0,OR(WEEKDAY(AA$16,2)=6,),OR($B28="Chan, Man Wai",$B28="Ng Suet Ping, Yoko",$B28="Li Mui Ying",$B28="Lee Ka Po, Kathy",$B28="Huang Huanrao, Yoyo")),"HDAL",
IF(OR(WEEKDAY(AA$16,2)=7,AND(WEEKDAY(AA$16,2)=6,SUMPRODUCT(($B$9:$AG$10=IFERROR(VLOOKUP($B28,'On call stat'!$S$3:$T$20,2,FALSE),""))*($B$3:$AG$3=AA$16))&gt;0)),"DO",
IF(SUMPRODUCT(($B$9:$AG$10=IFERROR(VLOOKUP($B28,'On call stat'!$S$3:$T$20,2,FALSE),""))*($B$3:$AG$3=AA$16))&gt;0,"AL",
IF(WEEKDAY(AA$16,2)=6,
IF($B28="Chan, Man Wai","HD",
IF($B28="Ng Suet Ping, Yoko","HD",
IF($B28="Li Mui Ying","HD1",
IF($B28="Huang Huanrao, Yoyo",IF(MOD(AA$13,2)=1,"HD2",IFERROR(IF(SUMPRODUCT(($B$3:$AG$3=AA$16)*($B$5:$AG$7=VLOOKUP($B28,'On call stat'!$S$3:$T$10,2,FALSE)))&gt;0,"D","DO"),"DO")),
IF($B28="Lee Ka Po, Kathy",IF(MOD(AA$13,2)=0,"HD2",IFERROR(IF(SUMPRODUCT(($B$3:$AG$3=AA$16)*($B$5:$AG$7=VLOOKUP($B28,'On call stat'!$S$3:$T$10,2,FALSE)))&gt;0,"D","DO"),"DO")),
IF($B28="Fan Hoi Wan, Ivy",IF(MOD(AA$13,2)=0,"D",IFERROR(IF(SUMPRODUCT(($B$3:$AG$3=AA$16)*($B$5:$AG$7=VLOOKUP($B28,'On call stat'!$S$3:$T$10,2,FALSE)))&gt;0,"D","DO"),"DO")),
IFERROR(IF(SUMPRODUCT(($B$3:$AG$3=AA$16)*($B$5:$AG$7=VLOOKUP($B28,'On call stat'!$S$3:$T$10,2,FALSE)))&gt;0,"D","DO"),"DO"))))))),
IF($B28="Huang Huanrao, Yoyo",IF(MOD(AA$13,2)=1,"D1","B6"),
IF($B28="Lee Ka Po, Kathy",IF(MOD(AA$13,2)=0,"D1","B6"),
IFERROR(IF(SUMPRODUCT(($B$3:$AG$3=AA$16)*($B$5:$AG$7=VLOOKUP($B28,'On call stat'!$S$3:$T$10,2,FALSE)))&gt;0,"E","D"),"D"))))))))</f>
        <v>PH</v>
      </c>
      <c r="AB28" s="40" t="str">
        <f>IF(COUNTIF(PH!$A:$A,AB$16)&gt;0,"PH",
IF(AND(SUMPRODUCT(($B$9:$AG$10=IFERROR(VLOOKUP($B28,'On call stat'!$S$3:$T$20,2,FALSE),""))*($B$3:$AG$3=AB$16))&gt;0,OR(WEEKDAY(AB$16,2)=6,),OR($B28="Chan, Man Wai",$B28="Ng Suet Ping, Yoko",$B28="Li Mui Ying",$B28="Lee Ka Po, Kathy",$B28="Huang Huanrao, Yoyo")),"HDAL",
IF(OR(WEEKDAY(AB$16,2)=7,AND(WEEKDAY(AB$16,2)=6,SUMPRODUCT(($B$9:$AG$10=IFERROR(VLOOKUP($B28,'On call stat'!$S$3:$T$20,2,FALSE),""))*($B$3:$AG$3=AB$16))&gt;0)),"DO",
IF(SUMPRODUCT(($B$9:$AG$10=IFERROR(VLOOKUP($B28,'On call stat'!$S$3:$T$20,2,FALSE),""))*($B$3:$AG$3=AB$16))&gt;0,"AL",
IF(WEEKDAY(AB$16,2)=6,
IF($B28="Chan, Man Wai","HD",
IF($B28="Ng Suet Ping, Yoko","HD",
IF($B28="Li Mui Ying","HD1",
IF($B28="Huang Huanrao, Yoyo",IF(MOD(AB$13,2)=1,"HD2",IFERROR(IF(SUMPRODUCT(($B$3:$AG$3=AB$16)*($B$5:$AG$7=VLOOKUP($B28,'On call stat'!$S$3:$T$10,2,FALSE)))&gt;0,"D","DO"),"DO")),
IF($B28="Lee Ka Po, Kathy",IF(MOD(AB$13,2)=0,"HD2",IFERROR(IF(SUMPRODUCT(($B$3:$AG$3=AB$16)*($B$5:$AG$7=VLOOKUP($B28,'On call stat'!$S$3:$T$10,2,FALSE)))&gt;0,"D","DO"),"DO")),
IF($B28="Fan Hoi Wan, Ivy",IF(MOD(AB$13,2)=0,"D",IFERROR(IF(SUMPRODUCT(($B$3:$AG$3=AB$16)*($B$5:$AG$7=VLOOKUP($B28,'On call stat'!$S$3:$T$10,2,FALSE)))&gt;0,"D","DO"),"DO")),
IFERROR(IF(SUMPRODUCT(($B$3:$AG$3=AB$16)*($B$5:$AG$7=VLOOKUP($B28,'On call stat'!$S$3:$T$10,2,FALSE)))&gt;0,"D","DO"),"DO"))))))),
IF($B28="Huang Huanrao, Yoyo",IF(MOD(AB$13,2)=1,"D1","B6"),
IF($B28="Lee Ka Po, Kathy",IF(MOD(AB$13,2)=0,"D1","B6"),
IFERROR(IF(SUMPRODUCT(($B$3:$AG$3=AB$16)*($B$5:$AG$7=VLOOKUP($B28,'On call stat'!$S$3:$T$10,2,FALSE)))&gt;0,"E","D"),"D"))))))))</f>
        <v>PH</v>
      </c>
      <c r="AC28" s="40" t="str">
        <f>IF(COUNTIF(PH!$A:$A,AC$16)&gt;0,"PH",
IF(AND(SUMPRODUCT(($B$9:$AG$10=IFERROR(VLOOKUP($B28,'On call stat'!$S$3:$T$20,2,FALSE),""))*($B$3:$AG$3=AC$16))&gt;0,OR(WEEKDAY(AC$16,2)=6,),OR($B28="Chan, Man Wai",$B28="Ng Suet Ping, Yoko",$B28="Li Mui Ying",$B28="Lee Ka Po, Kathy",$B28="Huang Huanrao, Yoyo")),"HDAL",
IF(OR(WEEKDAY(AC$16,2)=7,AND(WEEKDAY(AC$16,2)=6,SUMPRODUCT(($B$9:$AG$10=IFERROR(VLOOKUP($B28,'On call stat'!$S$3:$T$20,2,FALSE),""))*($B$3:$AG$3=AC$16))&gt;0)),"DO",
IF(SUMPRODUCT(($B$9:$AG$10=IFERROR(VLOOKUP($B28,'On call stat'!$S$3:$T$20,2,FALSE),""))*($B$3:$AG$3=AC$16))&gt;0,"AL",
IF(WEEKDAY(AC$16,2)=6,
IF($B28="Chan, Man Wai","HD",
IF($B28="Ng Suet Ping, Yoko","HD",
IF($B28="Li Mui Ying","HD1",
IF($B28="Huang Huanrao, Yoyo",IF(MOD(AC$13,2)=1,"HD2",IFERROR(IF(SUMPRODUCT(($B$3:$AG$3=AC$16)*($B$5:$AG$7=VLOOKUP($B28,'On call stat'!$S$3:$T$10,2,FALSE)))&gt;0,"D","DO"),"DO")),
IF($B28="Lee Ka Po, Kathy",IF(MOD(AC$13,2)=0,"HD2",IFERROR(IF(SUMPRODUCT(($B$3:$AG$3=AC$16)*($B$5:$AG$7=VLOOKUP($B28,'On call stat'!$S$3:$T$10,2,FALSE)))&gt;0,"D","DO"),"DO")),
IF($B28="Fan Hoi Wan, Ivy",IF(MOD(AC$13,2)=0,"D",IFERROR(IF(SUMPRODUCT(($B$3:$AG$3=AC$16)*($B$5:$AG$7=VLOOKUP($B28,'On call stat'!$S$3:$T$10,2,FALSE)))&gt;0,"D","DO"),"DO")),
IFERROR(IF(SUMPRODUCT(($B$3:$AG$3=AC$16)*($B$5:$AG$7=VLOOKUP($B28,'On call stat'!$S$3:$T$10,2,FALSE)))&gt;0,"D","DO"),"DO"))))))),
IF($B28="Huang Huanrao, Yoyo",IF(MOD(AC$13,2)=1,"D1","B6"),
IF($B28="Lee Ka Po, Kathy",IF(MOD(AC$13,2)=0,"D1","B6"),
IFERROR(IF(SUMPRODUCT(($B$3:$AG$3=AC$16)*($B$5:$AG$7=VLOOKUP($B28,'On call stat'!$S$3:$T$10,2,FALSE)))&gt;0,"E","D"),"D"))))))))</f>
        <v>DO</v>
      </c>
      <c r="AD28" s="40" t="str">
        <f>IF(COUNTIF(PH!$A:$A,AD$16)&gt;0,"PH",
IF(AND(SUMPRODUCT(($B$9:$AG$10=IFERROR(VLOOKUP($B28,'On call stat'!$S$3:$T$20,2,FALSE),""))*($B$3:$AG$3=AD$16))&gt;0,OR(WEEKDAY(AD$16,2)=6,),OR($B28="Chan, Man Wai",$B28="Ng Suet Ping, Yoko",$B28="Li Mui Ying",$B28="Lee Ka Po, Kathy",$B28="Huang Huanrao, Yoyo")),"HDAL",
IF(OR(WEEKDAY(AD$16,2)=7,AND(WEEKDAY(AD$16,2)=6,SUMPRODUCT(($B$9:$AG$10=IFERROR(VLOOKUP($B28,'On call stat'!$S$3:$T$20,2,FALSE),""))*($B$3:$AG$3=AD$16))&gt;0)),"DO",
IF(SUMPRODUCT(($B$9:$AG$10=IFERROR(VLOOKUP($B28,'On call stat'!$S$3:$T$20,2,FALSE),""))*($B$3:$AG$3=AD$16))&gt;0,"AL",
IF(WEEKDAY(AD$16,2)=6,
IF($B28="Chan, Man Wai","HD",
IF($B28="Ng Suet Ping, Yoko","HD",
IF($B28="Li Mui Ying","HD1",
IF($B28="Huang Huanrao, Yoyo",IF(MOD(AD$13,2)=1,"HD2",IFERROR(IF(SUMPRODUCT(($B$3:$AG$3=AD$16)*($B$5:$AG$7=VLOOKUP($B28,'On call stat'!$S$3:$T$10,2,FALSE)))&gt;0,"D","DO"),"DO")),
IF($B28="Lee Ka Po, Kathy",IF(MOD(AD$13,2)=0,"HD2",IFERROR(IF(SUMPRODUCT(($B$3:$AG$3=AD$16)*($B$5:$AG$7=VLOOKUP($B28,'On call stat'!$S$3:$T$10,2,FALSE)))&gt;0,"D","DO"),"DO")),
IF($B28="Fan Hoi Wan, Ivy",IF(MOD(AD$13,2)=0,"D",IFERROR(IF(SUMPRODUCT(($B$3:$AG$3=AD$16)*($B$5:$AG$7=VLOOKUP($B28,'On call stat'!$S$3:$T$10,2,FALSE)))&gt;0,"D","DO"),"DO")),
IFERROR(IF(SUMPRODUCT(($B$3:$AG$3=AD$16)*($B$5:$AG$7=VLOOKUP($B28,'On call stat'!$S$3:$T$10,2,FALSE)))&gt;0,"D","DO"),"DO"))))))),
IF($B28="Huang Huanrao, Yoyo",IF(MOD(AD$13,2)=1,"D1","B6"),
IF($B28="Lee Ka Po, Kathy",IF(MOD(AD$13,2)=0,"D1","B6"),
IFERROR(IF(SUMPRODUCT(($B$3:$AG$3=AD$16)*($B$5:$AG$7=VLOOKUP($B28,'On call stat'!$S$3:$T$10,2,FALSE)))&gt;0,"E","D"),"D"))))))))</f>
        <v>D1</v>
      </c>
      <c r="AE28" s="40" t="str">
        <f>IF(COUNTIF(PH!$A:$A,AE$16)&gt;0,"PH",
IF(AND(SUMPRODUCT(($B$9:$AG$10=IFERROR(VLOOKUP($B28,'On call stat'!$S$3:$T$20,2,FALSE),""))*($B$3:$AG$3=AE$16))&gt;0,OR(WEEKDAY(AE$16,2)=6,),OR($B28="Chan, Man Wai",$B28="Ng Suet Ping, Yoko",$B28="Li Mui Ying",$B28="Lee Ka Po, Kathy",$B28="Huang Huanrao, Yoyo")),"HDAL",
IF(OR(WEEKDAY(AE$16,2)=7,AND(WEEKDAY(AE$16,2)=6,SUMPRODUCT(($B$9:$AG$10=IFERROR(VLOOKUP($B28,'On call stat'!$S$3:$T$20,2,FALSE),""))*($B$3:$AG$3=AE$16))&gt;0)),"DO",
IF(SUMPRODUCT(($B$9:$AG$10=IFERROR(VLOOKUP($B28,'On call stat'!$S$3:$T$20,2,FALSE),""))*($B$3:$AG$3=AE$16))&gt;0,"AL",
IF(WEEKDAY(AE$16,2)=6,
IF($B28="Chan, Man Wai","HD",
IF($B28="Ng Suet Ping, Yoko","HD",
IF($B28="Li Mui Ying","HD1",
IF($B28="Huang Huanrao, Yoyo",IF(MOD(AE$13,2)=1,"HD2",IFERROR(IF(SUMPRODUCT(($B$3:$AG$3=AE$16)*($B$5:$AG$7=VLOOKUP($B28,'On call stat'!$S$3:$T$10,2,FALSE)))&gt;0,"D","DO"),"DO")),
IF($B28="Lee Ka Po, Kathy",IF(MOD(AE$13,2)=0,"HD2",IFERROR(IF(SUMPRODUCT(($B$3:$AG$3=AE$16)*($B$5:$AG$7=VLOOKUP($B28,'On call stat'!$S$3:$T$10,2,FALSE)))&gt;0,"D","DO"),"DO")),
IF($B28="Fan Hoi Wan, Ivy",IF(MOD(AE$13,2)=0,"D",IFERROR(IF(SUMPRODUCT(($B$3:$AG$3=AE$16)*($B$5:$AG$7=VLOOKUP($B28,'On call stat'!$S$3:$T$10,2,FALSE)))&gt;0,"D","DO"),"DO")),
IFERROR(IF(SUMPRODUCT(($B$3:$AG$3=AE$16)*($B$5:$AG$7=VLOOKUP($B28,'On call stat'!$S$3:$T$10,2,FALSE)))&gt;0,"D","DO"),"DO"))))))),
IF($B28="Huang Huanrao, Yoyo",IF(MOD(AE$13,2)=1,"D1","B6"),
IF($B28="Lee Ka Po, Kathy",IF(MOD(AE$13,2)=0,"D1","B6"),
IFERROR(IF(SUMPRODUCT(($B$3:$AG$3=AE$16)*($B$5:$AG$7=VLOOKUP($B28,'On call stat'!$S$3:$T$10,2,FALSE)))&gt;0,"E","D"),"D"))))))))</f>
        <v>D1</v>
      </c>
      <c r="AF28" s="40" t="str">
        <f>IF(COUNTIF(PH!$A:$A,AF$16)&gt;0,"PH",
IF(AND(SUMPRODUCT(($B$9:$AG$10=IFERROR(VLOOKUP($B28,'On call stat'!$S$3:$T$20,2,FALSE),""))*($B$3:$AG$3=AF$16))&gt;0,OR(WEEKDAY(AF$16,2)=6,),OR($B28="Chan, Man Wai",$B28="Ng Suet Ping, Yoko",$B28="Li Mui Ying",$B28="Lee Ka Po, Kathy",$B28="Huang Huanrao, Yoyo")),"HDAL",
IF(OR(WEEKDAY(AF$16,2)=7,AND(WEEKDAY(AF$16,2)=6,SUMPRODUCT(($B$9:$AG$10=IFERROR(VLOOKUP($B28,'On call stat'!$S$3:$T$20,2,FALSE),""))*($B$3:$AG$3=AF$16))&gt;0)),"DO",
IF(SUMPRODUCT(($B$9:$AG$10=IFERROR(VLOOKUP($B28,'On call stat'!$S$3:$T$20,2,FALSE),""))*($B$3:$AG$3=AF$16))&gt;0,"AL",
IF(WEEKDAY(AF$16,2)=6,
IF($B28="Chan, Man Wai","HD",
IF($B28="Ng Suet Ping, Yoko","HD",
IF($B28="Li Mui Ying","HD1",
IF($B28="Huang Huanrao, Yoyo",IF(MOD(AF$13,2)=1,"HD2",IFERROR(IF(SUMPRODUCT(($B$3:$AG$3=AF$16)*($B$5:$AG$7=VLOOKUP($B28,'On call stat'!$S$3:$T$10,2,FALSE)))&gt;0,"D","DO"),"DO")),
IF($B28="Lee Ka Po, Kathy",IF(MOD(AF$13,2)=0,"HD2",IFERROR(IF(SUMPRODUCT(($B$3:$AG$3=AF$16)*($B$5:$AG$7=VLOOKUP($B28,'On call stat'!$S$3:$T$10,2,FALSE)))&gt;0,"D","DO"),"DO")),
IF($B28="Fan Hoi Wan, Ivy",IF(MOD(AF$13,2)=0,"D",IFERROR(IF(SUMPRODUCT(($B$3:$AG$3=AF$16)*($B$5:$AG$7=VLOOKUP($B28,'On call stat'!$S$3:$T$10,2,FALSE)))&gt;0,"D","DO"),"DO")),
IFERROR(IF(SUMPRODUCT(($B$3:$AG$3=AF$16)*($B$5:$AG$7=VLOOKUP($B28,'On call stat'!$S$3:$T$10,2,FALSE)))&gt;0,"D","DO"),"DO"))))))),
IF($B28="Huang Huanrao, Yoyo",IF(MOD(AF$13,2)=1,"D1","B6"),
IF($B28="Lee Ka Po, Kathy",IF(MOD(AF$13,2)=0,"D1","B6"),
IFERROR(IF(SUMPRODUCT(($B$3:$AG$3=AF$16)*($B$5:$AG$7=VLOOKUP($B28,'On call stat'!$S$3:$T$10,2,FALSE)))&gt;0,"E","D"),"D"))))))))</f>
        <v>D1</v>
      </c>
      <c r="AG28" s="40" t="str">
        <f>IF(COUNTIF(PH!$A:$A,AG$16)&gt;0,"PH",
IF(AND(SUMPRODUCT(($B$9:$AG$10=IFERROR(VLOOKUP($B28,'On call stat'!$S$3:$T$20,2,FALSE),""))*($B$3:$AG$3=AG$16))&gt;0,OR(WEEKDAY(AG$16,2)=6,),OR($B28="Chan, Man Wai",$B28="Ng Suet Ping, Yoko",$B28="Li Mui Ying",$B28="Lee Ka Po, Kathy",$B28="Huang Huanrao, Yoyo")),"HDAL",
IF(OR(WEEKDAY(AG$16,2)=7,AND(WEEKDAY(AG$16,2)=6,SUMPRODUCT(($B$9:$AG$10=IFERROR(VLOOKUP($B28,'On call stat'!$S$3:$T$20,2,FALSE),""))*($B$3:$AG$3=AG$16))&gt;0)),"DO",
IF(SUMPRODUCT(($B$9:$AG$10=IFERROR(VLOOKUP($B28,'On call stat'!$S$3:$T$20,2,FALSE),""))*($B$3:$AG$3=AG$16))&gt;0,"AL",
IF(WEEKDAY(AG$16,2)=6,
IF($B28="Chan, Man Wai","HD",
IF($B28="Ng Suet Ping, Yoko","HD",
IF($B28="Li Mui Ying","HD1",
IF($B28="Huang Huanrao, Yoyo",IF(MOD(AG$13,2)=1,"HD2",IFERROR(IF(SUMPRODUCT(($B$3:$AG$3=AG$16)*($B$5:$AG$7=VLOOKUP($B28,'On call stat'!$S$3:$T$10,2,FALSE)))&gt;0,"D","DO"),"DO")),
IF($B28="Lee Ka Po, Kathy",IF(MOD(AG$13,2)=0,"HD2",IFERROR(IF(SUMPRODUCT(($B$3:$AG$3=AG$16)*($B$5:$AG$7=VLOOKUP($B28,'On call stat'!$S$3:$T$10,2,FALSE)))&gt;0,"D","DO"),"DO")),
IF($B28="Fan Hoi Wan, Ivy",IF(MOD(AG$13,2)=0,"D",IFERROR(IF(SUMPRODUCT(($B$3:$AG$3=AG$16)*($B$5:$AG$7=VLOOKUP($B28,'On call stat'!$S$3:$T$10,2,FALSE)))&gt;0,"D","DO"),"DO")),
IFERROR(IF(SUMPRODUCT(($B$3:$AG$3=AG$16)*($B$5:$AG$7=VLOOKUP($B28,'On call stat'!$S$3:$T$10,2,FALSE)))&gt;0,"D","DO"),"DO"))))))),
IF($B28="Huang Huanrao, Yoyo",IF(MOD(AG$13,2)=1,"D1","B6"),
IF($B28="Lee Ka Po, Kathy",IF(MOD(AG$13,2)=0,"D1","B6"),
IFERROR(IF(SUMPRODUCT(($B$3:$AG$3=AG$16)*($B$5:$AG$7=VLOOKUP($B28,'On call stat'!$S$3:$T$10,2,FALSE)))&gt;0,"E","D"),"D"))))))))</f>
        <v>D1</v>
      </c>
      <c r="AK28" s="11"/>
      <c r="AL28" s="11"/>
      <c r="AM28" s="66" cm="1">
        <f t="array" ref="AM28">SUMPRODUCT((C28:AG28="AL") *  (COUNTIF(PH!$A:$A, C$16:AG$16)=0) *(WEEKDAY(C$16:AG$16,2)&lt;=5) *  8)+SUMPRODUCT((C28:AG28="HDAL") *  (COUNTIF(PH!$A:$A, C$16:AG$16)=0) *(WEEKDAY(C$16:AG$16,2)&lt;=6) *  4)</f>
        <v>0</v>
      </c>
      <c r="AN28" s="68"/>
      <c r="AO28" s="67"/>
      <c r="AP28" s="67">
        <f>AO28+Nov!AP28</f>
        <v>0</v>
      </c>
    </row>
    <row r="29" spans="1:42" ht="37.5" customHeight="1" thickBot="1">
      <c r="A29" s="26" t="s">
        <v>67</v>
      </c>
      <c r="B29" s="22" t="s">
        <v>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K29" s="11"/>
      <c r="AL29" s="11"/>
      <c r="AM29" s="66" cm="1">
        <f t="array" ref="AM29">SUMPRODUCT((C29:AG29="AL") *  (COUNTIF(PH!$A:$A, C$16:AG$16)=0) *(WEEKDAY(C$16:AG$16,2)&lt;=5) *  8)+SUMPRODUCT((C29:AG29="HDAL") *  (COUNTIF(PH!$A:$A, C$16:AG$16)=0) *(WEEKDAY(C$16:AG$16,2)&lt;=6) *  4)</f>
        <v>0</v>
      </c>
      <c r="AN29" s="68"/>
      <c r="AO29" s="67"/>
      <c r="AP29" s="67">
        <f>AO29+Nov!AP29</f>
        <v>0</v>
      </c>
    </row>
    <row r="30" spans="1:42" ht="37.5" customHeight="1" thickBot="1">
      <c r="A30" s="26" t="s">
        <v>67</v>
      </c>
      <c r="B30" s="22" t="s">
        <v>69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K30" s="11"/>
      <c r="AL30" s="11"/>
      <c r="AM30" s="66" cm="1">
        <f t="array" ref="AM30">SUMPRODUCT((C30:AG30="AL") *  (COUNTIF(PH!$A:$A, C$16:AG$16)=0) *(WEEKDAY(C$16:AG$16,2)&lt;=5) *  8)+SUMPRODUCT((C30:AG30="HDAL") *  (COUNTIF(PH!$A:$A, C$16:AG$16)=0) *(WEEKDAY(C$16:AG$16,2)&lt;=6) *  4)</f>
        <v>0</v>
      </c>
      <c r="AN30" s="68"/>
      <c r="AO30" s="67"/>
      <c r="AP30" s="67">
        <f>AO30+Nov!AP30</f>
        <v>0</v>
      </c>
    </row>
    <row r="31" spans="1:42" ht="37.5" customHeight="1" thickBot="1">
      <c r="A31" s="27" t="s">
        <v>70</v>
      </c>
      <c r="B31" s="22" t="s">
        <v>71</v>
      </c>
      <c r="C31" s="40" t="str">
        <f>IF(COUNTIF(PH!$A:$A,C$16)&gt;0,"PH",
IF(AND(SUMPRODUCT(($B$9:$AG$10=IFERROR(VLOOKUP($B31,'On call stat'!$S$3:$T$20,2,FALSE),""))*($B$3:$AG$3=C$16))&gt;0,OR(WEEKDAY(C$16,2)=6,),OR($B31="Chan, Man Wai",$B31="Ng Suet Ping, Yoko",$B31="Li Mui Ying",$B31="Lee Ka Po, Kathy",$B31="Huang Huanrao, Yoyo")),"HDAL",
IF(OR(WEEKDAY(C$16,2)=7,AND(WEEKDAY(C$16,2)=6,SUMPRODUCT(($B$9:$AG$10=IFERROR(VLOOKUP($B31,'On call stat'!$S$3:$T$20,2,FALSE),""))*($B$3:$AG$3=C$16))&gt;0)),"DO",
IF(SUMPRODUCT(($B$9:$AG$10=IFERROR(VLOOKUP($B31,'On call stat'!$S$3:$T$20,2,FALSE),""))*($B$3:$AG$3=C$16))&gt;0,"AL",
IF(WEEKDAY(C$16,2)=6,
IF($B31="Chan, Man Wai","HD",
IF($B31="Ng Suet Ping, Yoko","HD",
IF($B31="Li Mui Ying","HD1",
IF($B31="Huang Huanrao, Yoyo",IF(MOD(C$13,2)=1,"HD2",IFERROR(IF(SUMPRODUCT(($B$3:$AG$3=C$16)*($B$5:$AG$7=VLOOKUP($B31,'On call stat'!$S$3:$T$10,2,FALSE)))&gt;0,"D","DO"),"DO")),
IF($B31="Lee Ka Po, Kathy",IF(MOD(C$13,2)=0,"HD2",IFERROR(IF(SUMPRODUCT(($B$3:$AG$3=C$16)*($B$5:$AG$7=VLOOKUP($B31,'On call stat'!$S$3:$T$10,2,FALSE)))&gt;0,"D","DO"),"DO")),
IF($B31="Fan Hoi Wan, Ivy",IF(MOD(C$13,2)=0,"D",IFERROR(IF(SUMPRODUCT(($B$3:$AG$3=C$16)*($B$5:$AG$7=VLOOKUP($B31,'On call stat'!$S$3:$T$10,2,FALSE)))&gt;0,"D","DO"),"DO")),
IFERROR(IF(SUMPRODUCT(($B$3:$AG$3=C$16)*($B$5:$AG$7=VLOOKUP($B31,'On call stat'!$S$3:$T$10,2,FALSE)))&gt;0,"D","DO"),"DO"))))))),
IF($B31="Huang Huanrao, Yoyo",IF(MOD(C$13,2)=1,"D1","B6"),
IF($B31="Lee Ka Po, Kathy",IF(MOD(C$13,2)=0,"D1","B6"),
IFERROR(IF(SUMPRODUCT(($B$3:$AG$3=C$16)*($B$5:$AG$7=VLOOKUP($B31,'On call stat'!$S$3:$T$10,2,FALSE)))&gt;0,"E","D"),"D"))))))))</f>
        <v>D</v>
      </c>
      <c r="D31" s="40" t="str">
        <f>IF(COUNTIF(PH!$A:$A,D$16)&gt;0,"PH",
IF(AND(SUMPRODUCT(($B$9:$AG$10=IFERROR(VLOOKUP($B31,'On call stat'!$S$3:$T$20,2,FALSE),""))*($B$3:$AG$3=D$16))&gt;0,OR(WEEKDAY(D$16,2)=6,),OR($B31="Chan, Man Wai",$B31="Ng Suet Ping, Yoko",$B31="Li Mui Ying",$B31="Lee Ka Po, Kathy",$B31="Huang Huanrao, Yoyo")),"HDAL",
IF(OR(WEEKDAY(D$16,2)=7,AND(WEEKDAY(D$16,2)=6,SUMPRODUCT(($B$9:$AG$10=IFERROR(VLOOKUP($B31,'On call stat'!$S$3:$T$20,2,FALSE),""))*($B$3:$AG$3=D$16))&gt;0)),"DO",
IF(SUMPRODUCT(($B$9:$AG$10=IFERROR(VLOOKUP($B31,'On call stat'!$S$3:$T$20,2,FALSE),""))*($B$3:$AG$3=D$16))&gt;0,"AL",
IF(WEEKDAY(D$16,2)=6,
IF($B31="Chan, Man Wai","HD",
IF($B31="Ng Suet Ping, Yoko","HD",
IF($B31="Li Mui Ying","HD1",
IF($B31="Huang Huanrao, Yoyo",IF(MOD(D$13,2)=1,"HD2",IFERROR(IF(SUMPRODUCT(($B$3:$AG$3=D$16)*($B$5:$AG$7=VLOOKUP($B31,'On call stat'!$S$3:$T$10,2,FALSE)))&gt;0,"D","DO"),"DO")),
IF($B31="Lee Ka Po, Kathy",IF(MOD(D$13,2)=0,"HD2",IFERROR(IF(SUMPRODUCT(($B$3:$AG$3=D$16)*($B$5:$AG$7=VLOOKUP($B31,'On call stat'!$S$3:$T$10,2,FALSE)))&gt;0,"D","DO"),"DO")),
IF($B31="Fan Hoi Wan, Ivy",IF(MOD(D$13,2)=0,"D",IFERROR(IF(SUMPRODUCT(($B$3:$AG$3=D$16)*($B$5:$AG$7=VLOOKUP($B31,'On call stat'!$S$3:$T$10,2,FALSE)))&gt;0,"D","DO"),"DO")),
IFERROR(IF(SUMPRODUCT(($B$3:$AG$3=D$16)*($B$5:$AG$7=VLOOKUP($B31,'On call stat'!$S$3:$T$10,2,FALSE)))&gt;0,"D","DO"),"DO"))))))),
IF($B31="Huang Huanrao, Yoyo",IF(MOD(D$13,2)=1,"D1","B6"),
IF($B31="Lee Ka Po, Kathy",IF(MOD(D$13,2)=0,"D1","B6"),
IFERROR(IF(SUMPRODUCT(($B$3:$AG$3=D$16)*($B$5:$AG$7=VLOOKUP($B31,'On call stat'!$S$3:$T$10,2,FALSE)))&gt;0,"E","D"),"D"))))))))</f>
        <v>D</v>
      </c>
      <c r="E31" s="40" t="str">
        <f>IF(COUNTIF(PH!$A:$A,E$16)&gt;0,"PH",
IF(AND(SUMPRODUCT(($B$9:$AG$10=IFERROR(VLOOKUP($B31,'On call stat'!$S$3:$T$20,2,FALSE),""))*($B$3:$AG$3=E$16))&gt;0,OR(WEEKDAY(E$16,2)=6,),OR($B31="Chan, Man Wai",$B31="Ng Suet Ping, Yoko",$B31="Li Mui Ying",$B31="Lee Ka Po, Kathy",$B31="Huang Huanrao, Yoyo")),"HDAL",
IF(OR(WEEKDAY(E$16,2)=7,AND(WEEKDAY(E$16,2)=6,SUMPRODUCT(($B$9:$AG$10=IFERROR(VLOOKUP($B31,'On call stat'!$S$3:$T$20,2,FALSE),""))*($B$3:$AG$3=E$16))&gt;0)),"DO",
IF(SUMPRODUCT(($B$9:$AG$10=IFERROR(VLOOKUP($B31,'On call stat'!$S$3:$T$20,2,FALSE),""))*($B$3:$AG$3=E$16))&gt;0,"AL",
IF(WEEKDAY(E$16,2)=6,
IF($B31="Chan, Man Wai","HD",
IF($B31="Ng Suet Ping, Yoko","HD",
IF($B31="Li Mui Ying","HD1",
IF($B31="Huang Huanrao, Yoyo",IF(MOD(E$13,2)=1,"HD2",IFERROR(IF(SUMPRODUCT(($B$3:$AG$3=E$16)*($B$5:$AG$7=VLOOKUP($B31,'On call stat'!$S$3:$T$10,2,FALSE)))&gt;0,"D","DO"),"DO")),
IF($B31="Lee Ka Po, Kathy",IF(MOD(E$13,2)=0,"HD2",IFERROR(IF(SUMPRODUCT(($B$3:$AG$3=E$16)*($B$5:$AG$7=VLOOKUP($B31,'On call stat'!$S$3:$T$10,2,FALSE)))&gt;0,"D","DO"),"DO")),
IF($B31="Fan Hoi Wan, Ivy",IF(MOD(E$13,2)=0,"D",IFERROR(IF(SUMPRODUCT(($B$3:$AG$3=E$16)*($B$5:$AG$7=VLOOKUP($B31,'On call stat'!$S$3:$T$10,2,FALSE)))&gt;0,"D","DO"),"DO")),
IFERROR(IF(SUMPRODUCT(($B$3:$AG$3=E$16)*($B$5:$AG$7=VLOOKUP($B31,'On call stat'!$S$3:$T$10,2,FALSE)))&gt;0,"D","DO"),"DO"))))))),
IF($B31="Huang Huanrao, Yoyo",IF(MOD(E$13,2)=1,"D1","B6"),
IF($B31="Lee Ka Po, Kathy",IF(MOD(E$13,2)=0,"D1","B6"),
IFERROR(IF(SUMPRODUCT(($B$3:$AG$3=E$16)*($B$5:$AG$7=VLOOKUP($B31,'On call stat'!$S$3:$T$10,2,FALSE)))&gt;0,"E","D"),"D"))))))))</f>
        <v>D</v>
      </c>
      <c r="F31" s="40" t="str">
        <f>IF(COUNTIF(PH!$A:$A,F$16)&gt;0,"PH",
IF(AND(SUMPRODUCT(($B$9:$AG$10=IFERROR(VLOOKUP($B31,'On call stat'!$S$3:$T$20,2,FALSE),""))*($B$3:$AG$3=F$16))&gt;0,OR(WEEKDAY(F$16,2)=6,),OR($B31="Chan, Man Wai",$B31="Ng Suet Ping, Yoko",$B31="Li Mui Ying",$B31="Lee Ka Po, Kathy",$B31="Huang Huanrao, Yoyo")),"HDAL",
IF(OR(WEEKDAY(F$16,2)=7,AND(WEEKDAY(F$16,2)=6,SUMPRODUCT(($B$9:$AG$10=IFERROR(VLOOKUP($B31,'On call stat'!$S$3:$T$20,2,FALSE),""))*($B$3:$AG$3=F$16))&gt;0)),"DO",
IF(SUMPRODUCT(($B$9:$AG$10=IFERROR(VLOOKUP($B31,'On call stat'!$S$3:$T$20,2,FALSE),""))*($B$3:$AG$3=F$16))&gt;0,"AL",
IF(WEEKDAY(F$16,2)=6,
IF($B31="Chan, Man Wai","HD",
IF($B31="Ng Suet Ping, Yoko","HD",
IF($B31="Li Mui Ying","HD1",
IF($B31="Huang Huanrao, Yoyo",IF(MOD(F$13,2)=1,"HD2",IFERROR(IF(SUMPRODUCT(($B$3:$AG$3=F$16)*($B$5:$AG$7=VLOOKUP($B31,'On call stat'!$S$3:$T$10,2,FALSE)))&gt;0,"D","DO"),"DO")),
IF($B31="Lee Ka Po, Kathy",IF(MOD(F$13,2)=0,"HD2",IFERROR(IF(SUMPRODUCT(($B$3:$AG$3=F$16)*($B$5:$AG$7=VLOOKUP($B31,'On call stat'!$S$3:$T$10,2,FALSE)))&gt;0,"D","DO"),"DO")),
IF($B31="Fan Hoi Wan, Ivy",IF(MOD(F$13,2)=0,"D",IFERROR(IF(SUMPRODUCT(($B$3:$AG$3=F$16)*($B$5:$AG$7=VLOOKUP($B31,'On call stat'!$S$3:$T$10,2,FALSE)))&gt;0,"D","DO"),"DO")),
IFERROR(IF(SUMPRODUCT(($B$3:$AG$3=F$16)*($B$5:$AG$7=VLOOKUP($B31,'On call stat'!$S$3:$T$10,2,FALSE)))&gt;0,"D","DO"),"DO"))))))),
IF($B31="Huang Huanrao, Yoyo",IF(MOD(F$13,2)=1,"D1","B6"),
IF($B31="Lee Ka Po, Kathy",IF(MOD(F$13,2)=0,"D1","B6"),
IFERROR(IF(SUMPRODUCT(($B$3:$AG$3=F$16)*($B$5:$AG$7=VLOOKUP($B31,'On call stat'!$S$3:$T$10,2,FALSE)))&gt;0,"E","D"),"D"))))))))</f>
        <v>D</v>
      </c>
      <c r="G31" s="40" t="str">
        <f>IF(COUNTIF(PH!$A:$A,G$16)&gt;0,"PH",
IF(AND(SUMPRODUCT(($B$9:$AG$10=IFERROR(VLOOKUP($B31,'On call stat'!$S$3:$T$20,2,FALSE),""))*($B$3:$AG$3=G$16))&gt;0,OR(WEEKDAY(G$16,2)=6,),OR($B31="Chan, Man Wai",$B31="Ng Suet Ping, Yoko",$B31="Li Mui Ying",$B31="Lee Ka Po, Kathy",$B31="Huang Huanrao, Yoyo")),"HDAL",
IF(OR(WEEKDAY(G$16,2)=7,AND(WEEKDAY(G$16,2)=6,SUMPRODUCT(($B$9:$AG$10=IFERROR(VLOOKUP($B31,'On call stat'!$S$3:$T$20,2,FALSE),""))*($B$3:$AG$3=G$16))&gt;0)),"DO",
IF(SUMPRODUCT(($B$9:$AG$10=IFERROR(VLOOKUP($B31,'On call stat'!$S$3:$T$20,2,FALSE),""))*($B$3:$AG$3=G$16))&gt;0,"AL",
IF(WEEKDAY(G$16,2)=6,
IF($B31="Chan, Man Wai","HD",
IF($B31="Ng Suet Ping, Yoko","HD",
IF($B31="Li Mui Ying","HD1",
IF($B31="Huang Huanrao, Yoyo",IF(MOD(G$13,2)=1,"HD2",IFERROR(IF(SUMPRODUCT(($B$3:$AG$3=G$16)*($B$5:$AG$7=VLOOKUP($B31,'On call stat'!$S$3:$T$10,2,FALSE)))&gt;0,"D","DO"),"DO")),
IF($B31="Lee Ka Po, Kathy",IF(MOD(G$13,2)=0,"HD2",IFERROR(IF(SUMPRODUCT(($B$3:$AG$3=G$16)*($B$5:$AG$7=VLOOKUP($B31,'On call stat'!$S$3:$T$10,2,FALSE)))&gt;0,"D","DO"),"DO")),
IF($B31="Fan Hoi Wan, Ivy",IF(MOD(G$13,2)=0,"D",IFERROR(IF(SUMPRODUCT(($B$3:$AG$3=G$16)*($B$5:$AG$7=VLOOKUP($B31,'On call stat'!$S$3:$T$10,2,FALSE)))&gt;0,"D","DO"),"DO")),
IFERROR(IF(SUMPRODUCT(($B$3:$AG$3=G$16)*($B$5:$AG$7=VLOOKUP($B31,'On call stat'!$S$3:$T$10,2,FALSE)))&gt;0,"D","DO"),"DO"))))))),
IF($B31="Huang Huanrao, Yoyo",IF(MOD(G$13,2)=1,"D1","B6"),
IF($B31="Lee Ka Po, Kathy",IF(MOD(G$13,2)=0,"D1","B6"),
IFERROR(IF(SUMPRODUCT(($B$3:$AG$3=G$16)*($B$5:$AG$7=VLOOKUP($B31,'On call stat'!$S$3:$T$10,2,FALSE)))&gt;0,"E","D"),"D"))))))))</f>
        <v>HD1</v>
      </c>
      <c r="H31" s="40" t="str">
        <f>IF(COUNTIF(PH!$A:$A,H$16)&gt;0,"PH",
IF(AND(SUMPRODUCT(($B$9:$AG$10=IFERROR(VLOOKUP($B31,'On call stat'!$S$3:$T$20,2,FALSE),""))*($B$3:$AG$3=H$16))&gt;0,OR(WEEKDAY(H$16,2)=6,),OR($B31="Chan, Man Wai",$B31="Ng Suet Ping, Yoko",$B31="Li Mui Ying",$B31="Lee Ka Po, Kathy",$B31="Huang Huanrao, Yoyo")),"HDAL",
IF(OR(WEEKDAY(H$16,2)=7,AND(WEEKDAY(H$16,2)=6,SUMPRODUCT(($B$9:$AG$10=IFERROR(VLOOKUP($B31,'On call stat'!$S$3:$T$20,2,FALSE),""))*($B$3:$AG$3=H$16))&gt;0)),"DO",
IF(SUMPRODUCT(($B$9:$AG$10=IFERROR(VLOOKUP($B31,'On call stat'!$S$3:$T$20,2,FALSE),""))*($B$3:$AG$3=H$16))&gt;0,"AL",
IF(WEEKDAY(H$16,2)=6,
IF($B31="Chan, Man Wai","HD",
IF($B31="Ng Suet Ping, Yoko","HD",
IF($B31="Li Mui Ying","HD1",
IF($B31="Huang Huanrao, Yoyo",IF(MOD(H$13,2)=1,"HD2",IFERROR(IF(SUMPRODUCT(($B$3:$AG$3=H$16)*($B$5:$AG$7=VLOOKUP($B31,'On call stat'!$S$3:$T$10,2,FALSE)))&gt;0,"D","DO"),"DO")),
IF($B31="Lee Ka Po, Kathy",IF(MOD(H$13,2)=0,"HD2",IFERROR(IF(SUMPRODUCT(($B$3:$AG$3=H$16)*($B$5:$AG$7=VLOOKUP($B31,'On call stat'!$S$3:$T$10,2,FALSE)))&gt;0,"D","DO"),"DO")),
IF($B31="Fan Hoi Wan, Ivy",IF(MOD(H$13,2)=0,"D",IFERROR(IF(SUMPRODUCT(($B$3:$AG$3=H$16)*($B$5:$AG$7=VLOOKUP($B31,'On call stat'!$S$3:$T$10,2,FALSE)))&gt;0,"D","DO"),"DO")),
IFERROR(IF(SUMPRODUCT(($B$3:$AG$3=H$16)*($B$5:$AG$7=VLOOKUP($B31,'On call stat'!$S$3:$T$10,2,FALSE)))&gt;0,"D","DO"),"DO"))))))),
IF($B31="Huang Huanrao, Yoyo",IF(MOD(H$13,2)=1,"D1","B6"),
IF($B31="Lee Ka Po, Kathy",IF(MOD(H$13,2)=0,"D1","B6"),
IFERROR(IF(SUMPRODUCT(($B$3:$AG$3=H$16)*($B$5:$AG$7=VLOOKUP($B31,'On call stat'!$S$3:$T$10,2,FALSE)))&gt;0,"E","D"),"D"))))))))</f>
        <v>DO</v>
      </c>
      <c r="I31" s="40" t="str">
        <f>IF(COUNTIF(PH!$A:$A,I$16)&gt;0,"PH",
IF(AND(SUMPRODUCT(($B$9:$AG$10=IFERROR(VLOOKUP($B31,'On call stat'!$S$3:$T$20,2,FALSE),""))*($B$3:$AG$3=I$16))&gt;0,OR(WEEKDAY(I$16,2)=6,),OR($B31="Chan, Man Wai",$B31="Ng Suet Ping, Yoko",$B31="Li Mui Ying",$B31="Lee Ka Po, Kathy",$B31="Huang Huanrao, Yoyo")),"HDAL",
IF(OR(WEEKDAY(I$16,2)=7,AND(WEEKDAY(I$16,2)=6,SUMPRODUCT(($B$9:$AG$10=IFERROR(VLOOKUP($B31,'On call stat'!$S$3:$T$20,2,FALSE),""))*($B$3:$AG$3=I$16))&gt;0)),"DO",
IF(SUMPRODUCT(($B$9:$AG$10=IFERROR(VLOOKUP($B31,'On call stat'!$S$3:$T$20,2,FALSE),""))*($B$3:$AG$3=I$16))&gt;0,"AL",
IF(WEEKDAY(I$16,2)=6,
IF($B31="Chan, Man Wai","HD",
IF($B31="Ng Suet Ping, Yoko","HD",
IF($B31="Li Mui Ying","HD1",
IF($B31="Huang Huanrao, Yoyo",IF(MOD(I$13,2)=1,"HD2",IFERROR(IF(SUMPRODUCT(($B$3:$AG$3=I$16)*($B$5:$AG$7=VLOOKUP($B31,'On call stat'!$S$3:$T$10,2,FALSE)))&gt;0,"D","DO"),"DO")),
IF($B31="Lee Ka Po, Kathy",IF(MOD(I$13,2)=0,"HD2",IFERROR(IF(SUMPRODUCT(($B$3:$AG$3=I$16)*($B$5:$AG$7=VLOOKUP($B31,'On call stat'!$S$3:$T$10,2,FALSE)))&gt;0,"D","DO"),"DO")),
IF($B31="Fan Hoi Wan, Ivy",IF(MOD(I$13,2)=0,"D",IFERROR(IF(SUMPRODUCT(($B$3:$AG$3=I$16)*($B$5:$AG$7=VLOOKUP($B31,'On call stat'!$S$3:$T$10,2,FALSE)))&gt;0,"D","DO"),"DO")),
IFERROR(IF(SUMPRODUCT(($B$3:$AG$3=I$16)*($B$5:$AG$7=VLOOKUP($B31,'On call stat'!$S$3:$T$10,2,FALSE)))&gt;0,"D","DO"),"DO"))))))),
IF($B31="Huang Huanrao, Yoyo",IF(MOD(I$13,2)=1,"D1","B6"),
IF($B31="Lee Ka Po, Kathy",IF(MOD(I$13,2)=0,"D1","B6"),
IFERROR(IF(SUMPRODUCT(($B$3:$AG$3=I$16)*($B$5:$AG$7=VLOOKUP($B31,'On call stat'!$S$3:$T$10,2,FALSE)))&gt;0,"E","D"),"D"))))))))</f>
        <v>D</v>
      </c>
      <c r="J31" s="40" t="str">
        <f>IF(COUNTIF(PH!$A:$A,J$16)&gt;0,"PH",
IF(AND(SUMPRODUCT(($B$9:$AG$10=IFERROR(VLOOKUP($B31,'On call stat'!$S$3:$T$20,2,FALSE),""))*($B$3:$AG$3=J$16))&gt;0,OR(WEEKDAY(J$16,2)=6,),OR($B31="Chan, Man Wai",$B31="Ng Suet Ping, Yoko",$B31="Li Mui Ying",$B31="Lee Ka Po, Kathy",$B31="Huang Huanrao, Yoyo")),"HDAL",
IF(OR(WEEKDAY(J$16,2)=7,AND(WEEKDAY(J$16,2)=6,SUMPRODUCT(($B$9:$AG$10=IFERROR(VLOOKUP($B31,'On call stat'!$S$3:$T$20,2,FALSE),""))*($B$3:$AG$3=J$16))&gt;0)),"DO",
IF(SUMPRODUCT(($B$9:$AG$10=IFERROR(VLOOKUP($B31,'On call stat'!$S$3:$T$20,2,FALSE),""))*($B$3:$AG$3=J$16))&gt;0,"AL",
IF(WEEKDAY(J$16,2)=6,
IF($B31="Chan, Man Wai","HD",
IF($B31="Ng Suet Ping, Yoko","HD",
IF($B31="Li Mui Ying","HD1",
IF($B31="Huang Huanrao, Yoyo",IF(MOD(J$13,2)=1,"HD2",IFERROR(IF(SUMPRODUCT(($B$3:$AG$3=J$16)*($B$5:$AG$7=VLOOKUP($B31,'On call stat'!$S$3:$T$10,2,FALSE)))&gt;0,"D","DO"),"DO")),
IF($B31="Lee Ka Po, Kathy",IF(MOD(J$13,2)=0,"HD2",IFERROR(IF(SUMPRODUCT(($B$3:$AG$3=J$16)*($B$5:$AG$7=VLOOKUP($B31,'On call stat'!$S$3:$T$10,2,FALSE)))&gt;0,"D","DO"),"DO")),
IF($B31="Fan Hoi Wan, Ivy",IF(MOD(J$13,2)=0,"D",IFERROR(IF(SUMPRODUCT(($B$3:$AG$3=J$16)*($B$5:$AG$7=VLOOKUP($B31,'On call stat'!$S$3:$T$10,2,FALSE)))&gt;0,"D","DO"),"DO")),
IFERROR(IF(SUMPRODUCT(($B$3:$AG$3=J$16)*($B$5:$AG$7=VLOOKUP($B31,'On call stat'!$S$3:$T$10,2,FALSE)))&gt;0,"D","DO"),"DO"))))))),
IF($B31="Huang Huanrao, Yoyo",IF(MOD(J$13,2)=1,"D1","B6"),
IF($B31="Lee Ka Po, Kathy",IF(MOD(J$13,2)=0,"D1","B6"),
IFERROR(IF(SUMPRODUCT(($B$3:$AG$3=J$16)*($B$5:$AG$7=VLOOKUP($B31,'On call stat'!$S$3:$T$10,2,FALSE)))&gt;0,"E","D"),"D"))))))))</f>
        <v>D</v>
      </c>
      <c r="K31" s="40" t="str">
        <f>IF(COUNTIF(PH!$A:$A,K$16)&gt;0,"PH",
IF(AND(SUMPRODUCT(($B$9:$AG$10=IFERROR(VLOOKUP($B31,'On call stat'!$S$3:$T$20,2,FALSE),""))*($B$3:$AG$3=K$16))&gt;0,OR(WEEKDAY(K$16,2)=6,),OR($B31="Chan, Man Wai",$B31="Ng Suet Ping, Yoko",$B31="Li Mui Ying",$B31="Lee Ka Po, Kathy",$B31="Huang Huanrao, Yoyo")),"HDAL",
IF(OR(WEEKDAY(K$16,2)=7,AND(WEEKDAY(K$16,2)=6,SUMPRODUCT(($B$9:$AG$10=IFERROR(VLOOKUP($B31,'On call stat'!$S$3:$T$20,2,FALSE),""))*($B$3:$AG$3=K$16))&gt;0)),"DO",
IF(SUMPRODUCT(($B$9:$AG$10=IFERROR(VLOOKUP($B31,'On call stat'!$S$3:$T$20,2,FALSE),""))*($B$3:$AG$3=K$16))&gt;0,"AL",
IF(WEEKDAY(K$16,2)=6,
IF($B31="Chan, Man Wai","HD",
IF($B31="Ng Suet Ping, Yoko","HD",
IF($B31="Li Mui Ying","HD1",
IF($B31="Huang Huanrao, Yoyo",IF(MOD(K$13,2)=1,"HD2",IFERROR(IF(SUMPRODUCT(($B$3:$AG$3=K$16)*($B$5:$AG$7=VLOOKUP($B31,'On call stat'!$S$3:$T$10,2,FALSE)))&gt;0,"D","DO"),"DO")),
IF($B31="Lee Ka Po, Kathy",IF(MOD(K$13,2)=0,"HD2",IFERROR(IF(SUMPRODUCT(($B$3:$AG$3=K$16)*($B$5:$AG$7=VLOOKUP($B31,'On call stat'!$S$3:$T$10,2,FALSE)))&gt;0,"D","DO"),"DO")),
IF($B31="Fan Hoi Wan, Ivy",IF(MOD(K$13,2)=0,"D",IFERROR(IF(SUMPRODUCT(($B$3:$AG$3=K$16)*($B$5:$AG$7=VLOOKUP($B31,'On call stat'!$S$3:$T$10,2,FALSE)))&gt;0,"D","DO"),"DO")),
IFERROR(IF(SUMPRODUCT(($B$3:$AG$3=K$16)*($B$5:$AG$7=VLOOKUP($B31,'On call stat'!$S$3:$T$10,2,FALSE)))&gt;0,"D","DO"),"DO"))))))),
IF($B31="Huang Huanrao, Yoyo",IF(MOD(K$13,2)=1,"D1","B6"),
IF($B31="Lee Ka Po, Kathy",IF(MOD(K$13,2)=0,"D1","B6"),
IFERROR(IF(SUMPRODUCT(($B$3:$AG$3=K$16)*($B$5:$AG$7=VLOOKUP($B31,'On call stat'!$S$3:$T$10,2,FALSE)))&gt;0,"E","D"),"D"))))))))</f>
        <v>D</v>
      </c>
      <c r="L31" s="40" t="str">
        <f>IF(COUNTIF(PH!$A:$A,L$16)&gt;0,"PH",
IF(AND(SUMPRODUCT(($B$9:$AG$10=IFERROR(VLOOKUP($B31,'On call stat'!$S$3:$T$20,2,FALSE),""))*($B$3:$AG$3=L$16))&gt;0,OR(WEEKDAY(L$16,2)=6,),OR($B31="Chan, Man Wai",$B31="Ng Suet Ping, Yoko",$B31="Li Mui Ying",$B31="Lee Ka Po, Kathy",$B31="Huang Huanrao, Yoyo")),"HDAL",
IF(OR(WEEKDAY(L$16,2)=7,AND(WEEKDAY(L$16,2)=6,SUMPRODUCT(($B$9:$AG$10=IFERROR(VLOOKUP($B31,'On call stat'!$S$3:$T$20,2,FALSE),""))*($B$3:$AG$3=L$16))&gt;0)),"DO",
IF(SUMPRODUCT(($B$9:$AG$10=IFERROR(VLOOKUP($B31,'On call stat'!$S$3:$T$20,2,FALSE),""))*($B$3:$AG$3=L$16))&gt;0,"AL",
IF(WEEKDAY(L$16,2)=6,
IF($B31="Chan, Man Wai","HD",
IF($B31="Ng Suet Ping, Yoko","HD",
IF($B31="Li Mui Ying","HD1",
IF($B31="Huang Huanrao, Yoyo",IF(MOD(L$13,2)=1,"HD2",IFERROR(IF(SUMPRODUCT(($B$3:$AG$3=L$16)*($B$5:$AG$7=VLOOKUP($B31,'On call stat'!$S$3:$T$10,2,FALSE)))&gt;0,"D","DO"),"DO")),
IF($B31="Lee Ka Po, Kathy",IF(MOD(L$13,2)=0,"HD2",IFERROR(IF(SUMPRODUCT(($B$3:$AG$3=L$16)*($B$5:$AG$7=VLOOKUP($B31,'On call stat'!$S$3:$T$10,2,FALSE)))&gt;0,"D","DO"),"DO")),
IF($B31="Fan Hoi Wan, Ivy",IF(MOD(L$13,2)=0,"D",IFERROR(IF(SUMPRODUCT(($B$3:$AG$3=L$16)*($B$5:$AG$7=VLOOKUP($B31,'On call stat'!$S$3:$T$10,2,FALSE)))&gt;0,"D","DO"),"DO")),
IFERROR(IF(SUMPRODUCT(($B$3:$AG$3=L$16)*($B$5:$AG$7=VLOOKUP($B31,'On call stat'!$S$3:$T$10,2,FALSE)))&gt;0,"D","DO"),"DO"))))))),
IF($B31="Huang Huanrao, Yoyo",IF(MOD(L$13,2)=1,"D1","B6"),
IF($B31="Lee Ka Po, Kathy",IF(MOD(L$13,2)=0,"D1","B6"),
IFERROR(IF(SUMPRODUCT(($B$3:$AG$3=L$16)*($B$5:$AG$7=VLOOKUP($B31,'On call stat'!$S$3:$T$10,2,FALSE)))&gt;0,"E","D"),"D"))))))))</f>
        <v>D</v>
      </c>
      <c r="M31" s="40" t="str">
        <f>IF(COUNTIF(PH!$A:$A,M$16)&gt;0,"PH",
IF(AND(SUMPRODUCT(($B$9:$AG$10=IFERROR(VLOOKUP($B31,'On call stat'!$S$3:$T$20,2,FALSE),""))*($B$3:$AG$3=M$16))&gt;0,OR(WEEKDAY(M$16,2)=6,),OR($B31="Chan, Man Wai",$B31="Ng Suet Ping, Yoko",$B31="Li Mui Ying",$B31="Lee Ka Po, Kathy",$B31="Huang Huanrao, Yoyo")),"HDAL",
IF(OR(WEEKDAY(M$16,2)=7,AND(WEEKDAY(M$16,2)=6,SUMPRODUCT(($B$9:$AG$10=IFERROR(VLOOKUP($B31,'On call stat'!$S$3:$T$20,2,FALSE),""))*($B$3:$AG$3=M$16))&gt;0)),"DO",
IF(SUMPRODUCT(($B$9:$AG$10=IFERROR(VLOOKUP($B31,'On call stat'!$S$3:$T$20,2,FALSE),""))*($B$3:$AG$3=M$16))&gt;0,"AL",
IF(WEEKDAY(M$16,2)=6,
IF($B31="Chan, Man Wai","HD",
IF($B31="Ng Suet Ping, Yoko","HD",
IF($B31="Li Mui Ying","HD1",
IF($B31="Huang Huanrao, Yoyo",IF(MOD(M$13,2)=1,"HD2",IFERROR(IF(SUMPRODUCT(($B$3:$AG$3=M$16)*($B$5:$AG$7=VLOOKUP($B31,'On call stat'!$S$3:$T$10,2,FALSE)))&gt;0,"D","DO"),"DO")),
IF($B31="Lee Ka Po, Kathy",IF(MOD(M$13,2)=0,"HD2",IFERROR(IF(SUMPRODUCT(($B$3:$AG$3=M$16)*($B$5:$AG$7=VLOOKUP($B31,'On call stat'!$S$3:$T$10,2,FALSE)))&gt;0,"D","DO"),"DO")),
IF($B31="Fan Hoi Wan, Ivy",IF(MOD(M$13,2)=0,"D",IFERROR(IF(SUMPRODUCT(($B$3:$AG$3=M$16)*($B$5:$AG$7=VLOOKUP($B31,'On call stat'!$S$3:$T$10,2,FALSE)))&gt;0,"D","DO"),"DO")),
IFERROR(IF(SUMPRODUCT(($B$3:$AG$3=M$16)*($B$5:$AG$7=VLOOKUP($B31,'On call stat'!$S$3:$T$10,2,FALSE)))&gt;0,"D","DO"),"DO"))))))),
IF($B31="Huang Huanrao, Yoyo",IF(MOD(M$13,2)=1,"D1","B6"),
IF($B31="Lee Ka Po, Kathy",IF(MOD(M$13,2)=0,"D1","B6"),
IFERROR(IF(SUMPRODUCT(($B$3:$AG$3=M$16)*($B$5:$AG$7=VLOOKUP($B31,'On call stat'!$S$3:$T$10,2,FALSE)))&gt;0,"E","D"),"D"))))))))</f>
        <v>D</v>
      </c>
      <c r="N31" s="40" t="str">
        <f>IF(COUNTIF(PH!$A:$A,N$16)&gt;0,"PH",
IF(AND(SUMPRODUCT(($B$9:$AG$10=IFERROR(VLOOKUP($B31,'On call stat'!$S$3:$T$20,2,FALSE),""))*($B$3:$AG$3=N$16))&gt;0,OR(WEEKDAY(N$16,2)=6,),OR($B31="Chan, Man Wai",$B31="Ng Suet Ping, Yoko",$B31="Li Mui Ying",$B31="Lee Ka Po, Kathy",$B31="Huang Huanrao, Yoyo")),"HDAL",
IF(OR(WEEKDAY(N$16,2)=7,AND(WEEKDAY(N$16,2)=6,SUMPRODUCT(($B$9:$AG$10=IFERROR(VLOOKUP($B31,'On call stat'!$S$3:$T$20,2,FALSE),""))*($B$3:$AG$3=N$16))&gt;0)),"DO",
IF(SUMPRODUCT(($B$9:$AG$10=IFERROR(VLOOKUP($B31,'On call stat'!$S$3:$T$20,2,FALSE),""))*($B$3:$AG$3=N$16))&gt;0,"AL",
IF(WEEKDAY(N$16,2)=6,
IF($B31="Chan, Man Wai","HD",
IF($B31="Ng Suet Ping, Yoko","HD",
IF($B31="Li Mui Ying","HD1",
IF($B31="Huang Huanrao, Yoyo",IF(MOD(N$13,2)=1,"HD2",IFERROR(IF(SUMPRODUCT(($B$3:$AG$3=N$16)*($B$5:$AG$7=VLOOKUP($B31,'On call stat'!$S$3:$T$10,2,FALSE)))&gt;0,"D","DO"),"DO")),
IF($B31="Lee Ka Po, Kathy",IF(MOD(N$13,2)=0,"HD2",IFERROR(IF(SUMPRODUCT(($B$3:$AG$3=N$16)*($B$5:$AG$7=VLOOKUP($B31,'On call stat'!$S$3:$T$10,2,FALSE)))&gt;0,"D","DO"),"DO")),
IF($B31="Fan Hoi Wan, Ivy",IF(MOD(N$13,2)=0,"D",IFERROR(IF(SUMPRODUCT(($B$3:$AG$3=N$16)*($B$5:$AG$7=VLOOKUP($B31,'On call stat'!$S$3:$T$10,2,FALSE)))&gt;0,"D","DO"),"DO")),
IFERROR(IF(SUMPRODUCT(($B$3:$AG$3=N$16)*($B$5:$AG$7=VLOOKUP($B31,'On call stat'!$S$3:$T$10,2,FALSE)))&gt;0,"D","DO"),"DO"))))))),
IF($B31="Huang Huanrao, Yoyo",IF(MOD(N$13,2)=1,"D1","B6"),
IF($B31="Lee Ka Po, Kathy",IF(MOD(N$13,2)=0,"D1","B6"),
IFERROR(IF(SUMPRODUCT(($B$3:$AG$3=N$16)*($B$5:$AG$7=VLOOKUP($B31,'On call stat'!$S$3:$T$10,2,FALSE)))&gt;0,"E","D"),"D"))))))))</f>
        <v>HD1</v>
      </c>
      <c r="O31" s="40" t="str">
        <f>IF(COUNTIF(PH!$A:$A,O$16)&gt;0,"PH",
IF(AND(SUMPRODUCT(($B$9:$AG$10=IFERROR(VLOOKUP($B31,'On call stat'!$S$3:$T$20,2,FALSE),""))*($B$3:$AG$3=O$16))&gt;0,OR(WEEKDAY(O$16,2)=6,),OR($B31="Chan, Man Wai",$B31="Ng Suet Ping, Yoko",$B31="Li Mui Ying",$B31="Lee Ka Po, Kathy",$B31="Huang Huanrao, Yoyo")),"HDAL",
IF(OR(WEEKDAY(O$16,2)=7,AND(WEEKDAY(O$16,2)=6,SUMPRODUCT(($B$9:$AG$10=IFERROR(VLOOKUP($B31,'On call stat'!$S$3:$T$20,2,FALSE),""))*($B$3:$AG$3=O$16))&gt;0)),"DO",
IF(SUMPRODUCT(($B$9:$AG$10=IFERROR(VLOOKUP($B31,'On call stat'!$S$3:$T$20,2,FALSE),""))*($B$3:$AG$3=O$16))&gt;0,"AL",
IF(WEEKDAY(O$16,2)=6,
IF($B31="Chan, Man Wai","HD",
IF($B31="Ng Suet Ping, Yoko","HD",
IF($B31="Li Mui Ying","HD1",
IF($B31="Huang Huanrao, Yoyo",IF(MOD(O$13,2)=1,"HD2",IFERROR(IF(SUMPRODUCT(($B$3:$AG$3=O$16)*($B$5:$AG$7=VLOOKUP($B31,'On call stat'!$S$3:$T$10,2,FALSE)))&gt;0,"D","DO"),"DO")),
IF($B31="Lee Ka Po, Kathy",IF(MOD(O$13,2)=0,"HD2",IFERROR(IF(SUMPRODUCT(($B$3:$AG$3=O$16)*($B$5:$AG$7=VLOOKUP($B31,'On call stat'!$S$3:$T$10,2,FALSE)))&gt;0,"D","DO"),"DO")),
IF($B31="Fan Hoi Wan, Ivy",IF(MOD(O$13,2)=0,"D",IFERROR(IF(SUMPRODUCT(($B$3:$AG$3=O$16)*($B$5:$AG$7=VLOOKUP($B31,'On call stat'!$S$3:$T$10,2,FALSE)))&gt;0,"D","DO"),"DO")),
IFERROR(IF(SUMPRODUCT(($B$3:$AG$3=O$16)*($B$5:$AG$7=VLOOKUP($B31,'On call stat'!$S$3:$T$10,2,FALSE)))&gt;0,"D","DO"),"DO"))))))),
IF($B31="Huang Huanrao, Yoyo",IF(MOD(O$13,2)=1,"D1","B6"),
IF($B31="Lee Ka Po, Kathy",IF(MOD(O$13,2)=0,"D1","B6"),
IFERROR(IF(SUMPRODUCT(($B$3:$AG$3=O$16)*($B$5:$AG$7=VLOOKUP($B31,'On call stat'!$S$3:$T$10,2,FALSE)))&gt;0,"E","D"),"D"))))))))</f>
        <v>DO</v>
      </c>
      <c r="P31" s="40" t="str">
        <f>IF(COUNTIF(PH!$A:$A,P$16)&gt;0,"PH",
IF(AND(SUMPRODUCT(($B$9:$AG$10=IFERROR(VLOOKUP($B31,'On call stat'!$S$3:$T$20,2,FALSE),""))*($B$3:$AG$3=P$16))&gt;0,OR(WEEKDAY(P$16,2)=6,),OR($B31="Chan, Man Wai",$B31="Ng Suet Ping, Yoko",$B31="Li Mui Ying",$B31="Lee Ka Po, Kathy",$B31="Huang Huanrao, Yoyo")),"HDAL",
IF(OR(WEEKDAY(P$16,2)=7,AND(WEEKDAY(P$16,2)=6,SUMPRODUCT(($B$9:$AG$10=IFERROR(VLOOKUP($B31,'On call stat'!$S$3:$T$20,2,FALSE),""))*($B$3:$AG$3=P$16))&gt;0)),"DO",
IF(SUMPRODUCT(($B$9:$AG$10=IFERROR(VLOOKUP($B31,'On call stat'!$S$3:$T$20,2,FALSE),""))*($B$3:$AG$3=P$16))&gt;0,"AL",
IF(WEEKDAY(P$16,2)=6,
IF($B31="Chan, Man Wai","HD",
IF($B31="Ng Suet Ping, Yoko","HD",
IF($B31="Li Mui Ying","HD1",
IF($B31="Huang Huanrao, Yoyo",IF(MOD(P$13,2)=1,"HD2",IFERROR(IF(SUMPRODUCT(($B$3:$AG$3=P$16)*($B$5:$AG$7=VLOOKUP($B31,'On call stat'!$S$3:$T$10,2,FALSE)))&gt;0,"D","DO"),"DO")),
IF($B31="Lee Ka Po, Kathy",IF(MOD(P$13,2)=0,"HD2",IFERROR(IF(SUMPRODUCT(($B$3:$AG$3=P$16)*($B$5:$AG$7=VLOOKUP($B31,'On call stat'!$S$3:$T$10,2,FALSE)))&gt;0,"D","DO"),"DO")),
IF($B31="Fan Hoi Wan, Ivy",IF(MOD(P$13,2)=0,"D",IFERROR(IF(SUMPRODUCT(($B$3:$AG$3=P$16)*($B$5:$AG$7=VLOOKUP($B31,'On call stat'!$S$3:$T$10,2,FALSE)))&gt;0,"D","DO"),"DO")),
IFERROR(IF(SUMPRODUCT(($B$3:$AG$3=P$16)*($B$5:$AG$7=VLOOKUP($B31,'On call stat'!$S$3:$T$10,2,FALSE)))&gt;0,"D","DO"),"DO"))))))),
IF($B31="Huang Huanrao, Yoyo",IF(MOD(P$13,2)=1,"D1","B6"),
IF($B31="Lee Ka Po, Kathy",IF(MOD(P$13,2)=0,"D1","B6"),
IFERROR(IF(SUMPRODUCT(($B$3:$AG$3=P$16)*($B$5:$AG$7=VLOOKUP($B31,'On call stat'!$S$3:$T$10,2,FALSE)))&gt;0,"E","D"),"D"))))))))</f>
        <v>D</v>
      </c>
      <c r="Q31" s="40" t="str">
        <f>IF(COUNTIF(PH!$A:$A,Q$16)&gt;0,"PH",
IF(AND(SUMPRODUCT(($B$9:$AG$10=IFERROR(VLOOKUP($B31,'On call stat'!$S$3:$T$20,2,FALSE),""))*($B$3:$AG$3=Q$16))&gt;0,OR(WEEKDAY(Q$16,2)=6,),OR($B31="Chan, Man Wai",$B31="Ng Suet Ping, Yoko",$B31="Li Mui Ying",$B31="Lee Ka Po, Kathy",$B31="Huang Huanrao, Yoyo")),"HDAL",
IF(OR(WEEKDAY(Q$16,2)=7,AND(WEEKDAY(Q$16,2)=6,SUMPRODUCT(($B$9:$AG$10=IFERROR(VLOOKUP($B31,'On call stat'!$S$3:$T$20,2,FALSE),""))*($B$3:$AG$3=Q$16))&gt;0)),"DO",
IF(SUMPRODUCT(($B$9:$AG$10=IFERROR(VLOOKUP($B31,'On call stat'!$S$3:$T$20,2,FALSE),""))*($B$3:$AG$3=Q$16))&gt;0,"AL",
IF(WEEKDAY(Q$16,2)=6,
IF($B31="Chan, Man Wai","HD",
IF($B31="Ng Suet Ping, Yoko","HD",
IF($B31="Li Mui Ying","HD1",
IF($B31="Huang Huanrao, Yoyo",IF(MOD(Q$13,2)=1,"HD2",IFERROR(IF(SUMPRODUCT(($B$3:$AG$3=Q$16)*($B$5:$AG$7=VLOOKUP($B31,'On call stat'!$S$3:$T$10,2,FALSE)))&gt;0,"D","DO"),"DO")),
IF($B31="Lee Ka Po, Kathy",IF(MOD(Q$13,2)=0,"HD2",IFERROR(IF(SUMPRODUCT(($B$3:$AG$3=Q$16)*($B$5:$AG$7=VLOOKUP($B31,'On call stat'!$S$3:$T$10,2,FALSE)))&gt;0,"D","DO"),"DO")),
IF($B31="Fan Hoi Wan, Ivy",IF(MOD(Q$13,2)=0,"D",IFERROR(IF(SUMPRODUCT(($B$3:$AG$3=Q$16)*($B$5:$AG$7=VLOOKUP($B31,'On call stat'!$S$3:$T$10,2,FALSE)))&gt;0,"D","DO"),"DO")),
IFERROR(IF(SUMPRODUCT(($B$3:$AG$3=Q$16)*($B$5:$AG$7=VLOOKUP($B31,'On call stat'!$S$3:$T$10,2,FALSE)))&gt;0,"D","DO"),"DO"))))))),
IF($B31="Huang Huanrao, Yoyo",IF(MOD(Q$13,2)=1,"D1","B6"),
IF($B31="Lee Ka Po, Kathy",IF(MOD(Q$13,2)=0,"D1","B6"),
IFERROR(IF(SUMPRODUCT(($B$3:$AG$3=Q$16)*($B$5:$AG$7=VLOOKUP($B31,'On call stat'!$S$3:$T$10,2,FALSE)))&gt;0,"E","D"),"D"))))))))</f>
        <v>D</v>
      </c>
      <c r="R31" s="40" t="str">
        <f>IF(COUNTIF(PH!$A:$A,R$16)&gt;0,"PH",
IF(AND(SUMPRODUCT(($B$9:$AG$10=IFERROR(VLOOKUP($B31,'On call stat'!$S$3:$T$20,2,FALSE),""))*($B$3:$AG$3=R$16))&gt;0,OR(WEEKDAY(R$16,2)=6,),OR($B31="Chan, Man Wai",$B31="Ng Suet Ping, Yoko",$B31="Li Mui Ying",$B31="Lee Ka Po, Kathy",$B31="Huang Huanrao, Yoyo")),"HDAL",
IF(OR(WEEKDAY(R$16,2)=7,AND(WEEKDAY(R$16,2)=6,SUMPRODUCT(($B$9:$AG$10=IFERROR(VLOOKUP($B31,'On call stat'!$S$3:$T$20,2,FALSE),""))*($B$3:$AG$3=R$16))&gt;0)),"DO",
IF(SUMPRODUCT(($B$9:$AG$10=IFERROR(VLOOKUP($B31,'On call stat'!$S$3:$T$20,2,FALSE),""))*($B$3:$AG$3=R$16))&gt;0,"AL",
IF(WEEKDAY(R$16,2)=6,
IF($B31="Chan, Man Wai","HD",
IF($B31="Ng Suet Ping, Yoko","HD",
IF($B31="Li Mui Ying","HD1",
IF($B31="Huang Huanrao, Yoyo",IF(MOD(R$13,2)=1,"HD2",IFERROR(IF(SUMPRODUCT(($B$3:$AG$3=R$16)*($B$5:$AG$7=VLOOKUP($B31,'On call stat'!$S$3:$T$10,2,FALSE)))&gt;0,"D","DO"),"DO")),
IF($B31="Lee Ka Po, Kathy",IF(MOD(R$13,2)=0,"HD2",IFERROR(IF(SUMPRODUCT(($B$3:$AG$3=R$16)*($B$5:$AG$7=VLOOKUP($B31,'On call stat'!$S$3:$T$10,2,FALSE)))&gt;0,"D","DO"),"DO")),
IF($B31="Fan Hoi Wan, Ivy",IF(MOD(R$13,2)=0,"D",IFERROR(IF(SUMPRODUCT(($B$3:$AG$3=R$16)*($B$5:$AG$7=VLOOKUP($B31,'On call stat'!$S$3:$T$10,2,FALSE)))&gt;0,"D","DO"),"DO")),
IFERROR(IF(SUMPRODUCT(($B$3:$AG$3=R$16)*($B$5:$AG$7=VLOOKUP($B31,'On call stat'!$S$3:$T$10,2,FALSE)))&gt;0,"D","DO"),"DO"))))))),
IF($B31="Huang Huanrao, Yoyo",IF(MOD(R$13,2)=1,"D1","B6"),
IF($B31="Lee Ka Po, Kathy",IF(MOD(R$13,2)=0,"D1","B6"),
IFERROR(IF(SUMPRODUCT(($B$3:$AG$3=R$16)*($B$5:$AG$7=VLOOKUP($B31,'On call stat'!$S$3:$T$10,2,FALSE)))&gt;0,"E","D"),"D"))))))))</f>
        <v>D</v>
      </c>
      <c r="S31" s="40" t="str">
        <f>IF(COUNTIF(PH!$A:$A,S$16)&gt;0,"PH",
IF(AND(SUMPRODUCT(($B$9:$AG$10=IFERROR(VLOOKUP($B31,'On call stat'!$S$3:$T$20,2,FALSE),""))*($B$3:$AG$3=S$16))&gt;0,OR(WEEKDAY(S$16,2)=6,),OR($B31="Chan, Man Wai",$B31="Ng Suet Ping, Yoko",$B31="Li Mui Ying",$B31="Lee Ka Po, Kathy",$B31="Huang Huanrao, Yoyo")),"HDAL",
IF(OR(WEEKDAY(S$16,2)=7,AND(WEEKDAY(S$16,2)=6,SUMPRODUCT(($B$9:$AG$10=IFERROR(VLOOKUP($B31,'On call stat'!$S$3:$T$20,2,FALSE),""))*($B$3:$AG$3=S$16))&gt;0)),"DO",
IF(SUMPRODUCT(($B$9:$AG$10=IFERROR(VLOOKUP($B31,'On call stat'!$S$3:$T$20,2,FALSE),""))*($B$3:$AG$3=S$16))&gt;0,"AL",
IF(WEEKDAY(S$16,2)=6,
IF($B31="Chan, Man Wai","HD",
IF($B31="Ng Suet Ping, Yoko","HD",
IF($B31="Li Mui Ying","HD1",
IF($B31="Huang Huanrao, Yoyo",IF(MOD(S$13,2)=1,"HD2",IFERROR(IF(SUMPRODUCT(($B$3:$AG$3=S$16)*($B$5:$AG$7=VLOOKUP($B31,'On call stat'!$S$3:$T$10,2,FALSE)))&gt;0,"D","DO"),"DO")),
IF($B31="Lee Ka Po, Kathy",IF(MOD(S$13,2)=0,"HD2",IFERROR(IF(SUMPRODUCT(($B$3:$AG$3=S$16)*($B$5:$AG$7=VLOOKUP($B31,'On call stat'!$S$3:$T$10,2,FALSE)))&gt;0,"D","DO"),"DO")),
IF($B31="Fan Hoi Wan, Ivy",IF(MOD(S$13,2)=0,"D",IFERROR(IF(SUMPRODUCT(($B$3:$AG$3=S$16)*($B$5:$AG$7=VLOOKUP($B31,'On call stat'!$S$3:$T$10,2,FALSE)))&gt;0,"D","DO"),"DO")),
IFERROR(IF(SUMPRODUCT(($B$3:$AG$3=S$16)*($B$5:$AG$7=VLOOKUP($B31,'On call stat'!$S$3:$T$10,2,FALSE)))&gt;0,"D","DO"),"DO"))))))),
IF($B31="Huang Huanrao, Yoyo",IF(MOD(S$13,2)=1,"D1","B6"),
IF($B31="Lee Ka Po, Kathy",IF(MOD(S$13,2)=0,"D1","B6"),
IFERROR(IF(SUMPRODUCT(($B$3:$AG$3=S$16)*($B$5:$AG$7=VLOOKUP($B31,'On call stat'!$S$3:$T$10,2,FALSE)))&gt;0,"E","D"),"D"))))))))</f>
        <v>D</v>
      </c>
      <c r="T31" s="40" t="str">
        <f>IF(COUNTIF(PH!$A:$A,T$16)&gt;0,"PH",
IF(AND(SUMPRODUCT(($B$9:$AG$10=IFERROR(VLOOKUP($B31,'On call stat'!$S$3:$T$20,2,FALSE),""))*($B$3:$AG$3=T$16))&gt;0,OR(WEEKDAY(T$16,2)=6,),OR($B31="Chan, Man Wai",$B31="Ng Suet Ping, Yoko",$B31="Li Mui Ying",$B31="Lee Ka Po, Kathy",$B31="Huang Huanrao, Yoyo")),"HDAL",
IF(OR(WEEKDAY(T$16,2)=7,AND(WEEKDAY(T$16,2)=6,SUMPRODUCT(($B$9:$AG$10=IFERROR(VLOOKUP($B31,'On call stat'!$S$3:$T$20,2,FALSE),""))*($B$3:$AG$3=T$16))&gt;0)),"DO",
IF(SUMPRODUCT(($B$9:$AG$10=IFERROR(VLOOKUP($B31,'On call stat'!$S$3:$T$20,2,FALSE),""))*($B$3:$AG$3=T$16))&gt;0,"AL",
IF(WEEKDAY(T$16,2)=6,
IF($B31="Chan, Man Wai","HD",
IF($B31="Ng Suet Ping, Yoko","HD",
IF($B31="Li Mui Ying","HD1",
IF($B31="Huang Huanrao, Yoyo",IF(MOD(T$13,2)=1,"HD2",IFERROR(IF(SUMPRODUCT(($B$3:$AG$3=T$16)*($B$5:$AG$7=VLOOKUP($B31,'On call stat'!$S$3:$T$10,2,FALSE)))&gt;0,"D","DO"),"DO")),
IF($B31="Lee Ka Po, Kathy",IF(MOD(T$13,2)=0,"HD2",IFERROR(IF(SUMPRODUCT(($B$3:$AG$3=T$16)*($B$5:$AG$7=VLOOKUP($B31,'On call stat'!$S$3:$T$10,2,FALSE)))&gt;0,"D","DO"),"DO")),
IF($B31="Fan Hoi Wan, Ivy",IF(MOD(T$13,2)=0,"D",IFERROR(IF(SUMPRODUCT(($B$3:$AG$3=T$16)*($B$5:$AG$7=VLOOKUP($B31,'On call stat'!$S$3:$T$10,2,FALSE)))&gt;0,"D","DO"),"DO")),
IFERROR(IF(SUMPRODUCT(($B$3:$AG$3=T$16)*($B$5:$AG$7=VLOOKUP($B31,'On call stat'!$S$3:$T$10,2,FALSE)))&gt;0,"D","DO"),"DO"))))))),
IF($B31="Huang Huanrao, Yoyo",IF(MOD(T$13,2)=1,"D1","B6"),
IF($B31="Lee Ka Po, Kathy",IF(MOD(T$13,2)=0,"D1","B6"),
IFERROR(IF(SUMPRODUCT(($B$3:$AG$3=T$16)*($B$5:$AG$7=VLOOKUP($B31,'On call stat'!$S$3:$T$10,2,FALSE)))&gt;0,"E","D"),"D"))))))))</f>
        <v>D</v>
      </c>
      <c r="U31" s="40" t="str">
        <f>IF(COUNTIF(PH!$A:$A,U$16)&gt;0,"PH",
IF(AND(SUMPRODUCT(($B$9:$AG$10=IFERROR(VLOOKUP($B31,'On call stat'!$S$3:$T$20,2,FALSE),""))*($B$3:$AG$3=U$16))&gt;0,OR(WEEKDAY(U$16,2)=6,),OR($B31="Chan, Man Wai",$B31="Ng Suet Ping, Yoko",$B31="Li Mui Ying",$B31="Lee Ka Po, Kathy",$B31="Huang Huanrao, Yoyo")),"HDAL",
IF(OR(WEEKDAY(U$16,2)=7,AND(WEEKDAY(U$16,2)=6,SUMPRODUCT(($B$9:$AG$10=IFERROR(VLOOKUP($B31,'On call stat'!$S$3:$T$20,2,FALSE),""))*($B$3:$AG$3=U$16))&gt;0)),"DO",
IF(SUMPRODUCT(($B$9:$AG$10=IFERROR(VLOOKUP($B31,'On call stat'!$S$3:$T$20,2,FALSE),""))*($B$3:$AG$3=U$16))&gt;0,"AL",
IF(WEEKDAY(U$16,2)=6,
IF($B31="Chan, Man Wai","HD",
IF($B31="Ng Suet Ping, Yoko","HD",
IF($B31="Li Mui Ying","HD1",
IF($B31="Huang Huanrao, Yoyo",IF(MOD(U$13,2)=1,"HD2",IFERROR(IF(SUMPRODUCT(($B$3:$AG$3=U$16)*($B$5:$AG$7=VLOOKUP($B31,'On call stat'!$S$3:$T$10,2,FALSE)))&gt;0,"D","DO"),"DO")),
IF($B31="Lee Ka Po, Kathy",IF(MOD(U$13,2)=0,"HD2",IFERROR(IF(SUMPRODUCT(($B$3:$AG$3=U$16)*($B$5:$AG$7=VLOOKUP($B31,'On call stat'!$S$3:$T$10,2,FALSE)))&gt;0,"D","DO"),"DO")),
IF($B31="Fan Hoi Wan, Ivy",IF(MOD(U$13,2)=0,"D",IFERROR(IF(SUMPRODUCT(($B$3:$AG$3=U$16)*($B$5:$AG$7=VLOOKUP($B31,'On call stat'!$S$3:$T$10,2,FALSE)))&gt;0,"D","DO"),"DO")),
IFERROR(IF(SUMPRODUCT(($B$3:$AG$3=U$16)*($B$5:$AG$7=VLOOKUP($B31,'On call stat'!$S$3:$T$10,2,FALSE)))&gt;0,"D","DO"),"DO"))))))),
IF($B31="Huang Huanrao, Yoyo",IF(MOD(U$13,2)=1,"D1","B6"),
IF($B31="Lee Ka Po, Kathy",IF(MOD(U$13,2)=0,"D1","B6"),
IFERROR(IF(SUMPRODUCT(($B$3:$AG$3=U$16)*($B$5:$AG$7=VLOOKUP($B31,'On call stat'!$S$3:$T$10,2,FALSE)))&gt;0,"E","D"),"D"))))))))</f>
        <v>HD1</v>
      </c>
      <c r="V31" s="40" t="str">
        <f>IF(COUNTIF(PH!$A:$A,V$16)&gt;0,"PH",
IF(AND(SUMPRODUCT(($B$9:$AG$10=IFERROR(VLOOKUP($B31,'On call stat'!$S$3:$T$20,2,FALSE),""))*($B$3:$AG$3=V$16))&gt;0,OR(WEEKDAY(V$16,2)=6,),OR($B31="Chan, Man Wai",$B31="Ng Suet Ping, Yoko",$B31="Li Mui Ying",$B31="Lee Ka Po, Kathy",$B31="Huang Huanrao, Yoyo")),"HDAL",
IF(OR(WEEKDAY(V$16,2)=7,AND(WEEKDAY(V$16,2)=6,SUMPRODUCT(($B$9:$AG$10=IFERROR(VLOOKUP($B31,'On call stat'!$S$3:$T$20,2,FALSE),""))*($B$3:$AG$3=V$16))&gt;0)),"DO",
IF(SUMPRODUCT(($B$9:$AG$10=IFERROR(VLOOKUP($B31,'On call stat'!$S$3:$T$20,2,FALSE),""))*($B$3:$AG$3=V$16))&gt;0,"AL",
IF(WEEKDAY(V$16,2)=6,
IF($B31="Chan, Man Wai","HD",
IF($B31="Ng Suet Ping, Yoko","HD",
IF($B31="Li Mui Ying","HD1",
IF($B31="Huang Huanrao, Yoyo",IF(MOD(V$13,2)=1,"HD2",IFERROR(IF(SUMPRODUCT(($B$3:$AG$3=V$16)*($B$5:$AG$7=VLOOKUP($B31,'On call stat'!$S$3:$T$10,2,FALSE)))&gt;0,"D","DO"),"DO")),
IF($B31="Lee Ka Po, Kathy",IF(MOD(V$13,2)=0,"HD2",IFERROR(IF(SUMPRODUCT(($B$3:$AG$3=V$16)*($B$5:$AG$7=VLOOKUP($B31,'On call stat'!$S$3:$T$10,2,FALSE)))&gt;0,"D","DO"),"DO")),
IF($B31="Fan Hoi Wan, Ivy",IF(MOD(V$13,2)=0,"D",IFERROR(IF(SUMPRODUCT(($B$3:$AG$3=V$16)*($B$5:$AG$7=VLOOKUP($B31,'On call stat'!$S$3:$T$10,2,FALSE)))&gt;0,"D","DO"),"DO")),
IFERROR(IF(SUMPRODUCT(($B$3:$AG$3=V$16)*($B$5:$AG$7=VLOOKUP($B31,'On call stat'!$S$3:$T$10,2,FALSE)))&gt;0,"D","DO"),"DO"))))))),
IF($B31="Huang Huanrao, Yoyo",IF(MOD(V$13,2)=1,"D1","B6"),
IF($B31="Lee Ka Po, Kathy",IF(MOD(V$13,2)=0,"D1","B6"),
IFERROR(IF(SUMPRODUCT(($B$3:$AG$3=V$16)*($B$5:$AG$7=VLOOKUP($B31,'On call stat'!$S$3:$T$10,2,FALSE)))&gt;0,"E","D"),"D"))))))))</f>
        <v>DO</v>
      </c>
      <c r="W31" s="40" t="str">
        <f>IF(COUNTIF(PH!$A:$A,W$16)&gt;0,"PH",
IF(AND(SUMPRODUCT(($B$9:$AG$10=IFERROR(VLOOKUP($B31,'On call stat'!$S$3:$T$20,2,FALSE),""))*($B$3:$AG$3=W$16))&gt;0,OR(WEEKDAY(W$16,2)=6,),OR($B31="Chan, Man Wai",$B31="Ng Suet Ping, Yoko",$B31="Li Mui Ying",$B31="Lee Ka Po, Kathy",$B31="Huang Huanrao, Yoyo")),"HDAL",
IF(OR(WEEKDAY(W$16,2)=7,AND(WEEKDAY(W$16,2)=6,SUMPRODUCT(($B$9:$AG$10=IFERROR(VLOOKUP($B31,'On call stat'!$S$3:$T$20,2,FALSE),""))*($B$3:$AG$3=W$16))&gt;0)),"DO",
IF(SUMPRODUCT(($B$9:$AG$10=IFERROR(VLOOKUP($B31,'On call stat'!$S$3:$T$20,2,FALSE),""))*($B$3:$AG$3=W$16))&gt;0,"AL",
IF(WEEKDAY(W$16,2)=6,
IF($B31="Chan, Man Wai","HD",
IF($B31="Ng Suet Ping, Yoko","HD",
IF($B31="Li Mui Ying","HD1",
IF($B31="Huang Huanrao, Yoyo",IF(MOD(W$13,2)=1,"HD2",IFERROR(IF(SUMPRODUCT(($B$3:$AG$3=W$16)*($B$5:$AG$7=VLOOKUP($B31,'On call stat'!$S$3:$T$10,2,FALSE)))&gt;0,"D","DO"),"DO")),
IF($B31="Lee Ka Po, Kathy",IF(MOD(W$13,2)=0,"HD2",IFERROR(IF(SUMPRODUCT(($B$3:$AG$3=W$16)*($B$5:$AG$7=VLOOKUP($B31,'On call stat'!$S$3:$T$10,2,FALSE)))&gt;0,"D","DO"),"DO")),
IF($B31="Fan Hoi Wan, Ivy",IF(MOD(W$13,2)=0,"D",IFERROR(IF(SUMPRODUCT(($B$3:$AG$3=W$16)*($B$5:$AG$7=VLOOKUP($B31,'On call stat'!$S$3:$T$10,2,FALSE)))&gt;0,"D","DO"),"DO")),
IFERROR(IF(SUMPRODUCT(($B$3:$AG$3=W$16)*($B$5:$AG$7=VLOOKUP($B31,'On call stat'!$S$3:$T$10,2,FALSE)))&gt;0,"D","DO"),"DO"))))))),
IF($B31="Huang Huanrao, Yoyo",IF(MOD(W$13,2)=1,"D1","B6"),
IF($B31="Lee Ka Po, Kathy",IF(MOD(W$13,2)=0,"D1","B6"),
IFERROR(IF(SUMPRODUCT(($B$3:$AG$3=W$16)*($B$5:$AG$7=VLOOKUP($B31,'On call stat'!$S$3:$T$10,2,FALSE)))&gt;0,"E","D"),"D"))))))))</f>
        <v>D</v>
      </c>
      <c r="X31" s="40" t="str">
        <f>IF(COUNTIF(PH!$A:$A,X$16)&gt;0,"PH",
IF(AND(SUMPRODUCT(($B$9:$AG$10=IFERROR(VLOOKUP($B31,'On call stat'!$S$3:$T$20,2,FALSE),""))*($B$3:$AG$3=X$16))&gt;0,OR(WEEKDAY(X$16,2)=6,),OR($B31="Chan, Man Wai",$B31="Ng Suet Ping, Yoko",$B31="Li Mui Ying",$B31="Lee Ka Po, Kathy",$B31="Huang Huanrao, Yoyo")),"HDAL",
IF(OR(WEEKDAY(X$16,2)=7,AND(WEEKDAY(X$16,2)=6,SUMPRODUCT(($B$9:$AG$10=IFERROR(VLOOKUP($B31,'On call stat'!$S$3:$T$20,2,FALSE),""))*($B$3:$AG$3=X$16))&gt;0)),"DO",
IF(SUMPRODUCT(($B$9:$AG$10=IFERROR(VLOOKUP($B31,'On call stat'!$S$3:$T$20,2,FALSE),""))*($B$3:$AG$3=X$16))&gt;0,"AL",
IF(WEEKDAY(X$16,2)=6,
IF($B31="Chan, Man Wai","HD",
IF($B31="Ng Suet Ping, Yoko","HD",
IF($B31="Li Mui Ying","HD1",
IF($B31="Huang Huanrao, Yoyo",IF(MOD(X$13,2)=1,"HD2",IFERROR(IF(SUMPRODUCT(($B$3:$AG$3=X$16)*($B$5:$AG$7=VLOOKUP($B31,'On call stat'!$S$3:$T$10,2,FALSE)))&gt;0,"D","DO"),"DO")),
IF($B31="Lee Ka Po, Kathy",IF(MOD(X$13,2)=0,"HD2",IFERROR(IF(SUMPRODUCT(($B$3:$AG$3=X$16)*($B$5:$AG$7=VLOOKUP($B31,'On call stat'!$S$3:$T$10,2,FALSE)))&gt;0,"D","DO"),"DO")),
IF($B31="Fan Hoi Wan, Ivy",IF(MOD(X$13,2)=0,"D",IFERROR(IF(SUMPRODUCT(($B$3:$AG$3=X$16)*($B$5:$AG$7=VLOOKUP($B31,'On call stat'!$S$3:$T$10,2,FALSE)))&gt;0,"D","DO"),"DO")),
IFERROR(IF(SUMPRODUCT(($B$3:$AG$3=X$16)*($B$5:$AG$7=VLOOKUP($B31,'On call stat'!$S$3:$T$10,2,FALSE)))&gt;0,"D","DO"),"DO"))))))),
IF($B31="Huang Huanrao, Yoyo",IF(MOD(X$13,2)=1,"D1","B6"),
IF($B31="Lee Ka Po, Kathy",IF(MOD(X$13,2)=0,"D1","B6"),
IFERROR(IF(SUMPRODUCT(($B$3:$AG$3=X$16)*($B$5:$AG$7=VLOOKUP($B31,'On call stat'!$S$3:$T$10,2,FALSE)))&gt;0,"E","D"),"D"))))))))</f>
        <v>D</v>
      </c>
      <c r="Y31" s="40" t="str">
        <f>IF(COUNTIF(PH!$A:$A,Y$16)&gt;0,"PH",
IF(AND(SUMPRODUCT(($B$9:$AG$10=IFERROR(VLOOKUP($B31,'On call stat'!$S$3:$T$20,2,FALSE),""))*($B$3:$AG$3=Y$16))&gt;0,OR(WEEKDAY(Y$16,2)=6,),OR($B31="Chan, Man Wai",$B31="Ng Suet Ping, Yoko",$B31="Li Mui Ying",$B31="Lee Ka Po, Kathy",$B31="Huang Huanrao, Yoyo")),"HDAL",
IF(OR(WEEKDAY(Y$16,2)=7,AND(WEEKDAY(Y$16,2)=6,SUMPRODUCT(($B$9:$AG$10=IFERROR(VLOOKUP($B31,'On call stat'!$S$3:$T$20,2,FALSE),""))*($B$3:$AG$3=Y$16))&gt;0)),"DO",
IF(SUMPRODUCT(($B$9:$AG$10=IFERROR(VLOOKUP($B31,'On call stat'!$S$3:$T$20,2,FALSE),""))*($B$3:$AG$3=Y$16))&gt;0,"AL",
IF(WEEKDAY(Y$16,2)=6,
IF($B31="Chan, Man Wai","HD",
IF($B31="Ng Suet Ping, Yoko","HD",
IF($B31="Li Mui Ying","HD1",
IF($B31="Huang Huanrao, Yoyo",IF(MOD(Y$13,2)=1,"HD2",IFERROR(IF(SUMPRODUCT(($B$3:$AG$3=Y$16)*($B$5:$AG$7=VLOOKUP($B31,'On call stat'!$S$3:$T$10,2,FALSE)))&gt;0,"D","DO"),"DO")),
IF($B31="Lee Ka Po, Kathy",IF(MOD(Y$13,2)=0,"HD2",IFERROR(IF(SUMPRODUCT(($B$3:$AG$3=Y$16)*($B$5:$AG$7=VLOOKUP($B31,'On call stat'!$S$3:$T$10,2,FALSE)))&gt;0,"D","DO"),"DO")),
IF($B31="Fan Hoi Wan, Ivy",IF(MOD(Y$13,2)=0,"D",IFERROR(IF(SUMPRODUCT(($B$3:$AG$3=Y$16)*($B$5:$AG$7=VLOOKUP($B31,'On call stat'!$S$3:$T$10,2,FALSE)))&gt;0,"D","DO"),"DO")),
IFERROR(IF(SUMPRODUCT(($B$3:$AG$3=Y$16)*($B$5:$AG$7=VLOOKUP($B31,'On call stat'!$S$3:$T$10,2,FALSE)))&gt;0,"D","DO"),"DO"))))))),
IF($B31="Huang Huanrao, Yoyo",IF(MOD(Y$13,2)=1,"D1","B6"),
IF($B31="Lee Ka Po, Kathy",IF(MOD(Y$13,2)=0,"D1","B6"),
IFERROR(IF(SUMPRODUCT(($B$3:$AG$3=Y$16)*($B$5:$AG$7=VLOOKUP($B31,'On call stat'!$S$3:$T$10,2,FALSE)))&gt;0,"E","D"),"D"))))))))</f>
        <v>D</v>
      </c>
      <c r="Z31" s="40" t="str">
        <f>IF(COUNTIF(PH!$A:$A,Z$16)&gt;0,"PH",
IF(AND(SUMPRODUCT(($B$9:$AG$10=IFERROR(VLOOKUP($B31,'On call stat'!$S$3:$T$20,2,FALSE),""))*($B$3:$AG$3=Z$16))&gt;0,OR(WEEKDAY(Z$16,2)=6,),OR($B31="Chan, Man Wai",$B31="Ng Suet Ping, Yoko",$B31="Li Mui Ying",$B31="Lee Ka Po, Kathy",$B31="Huang Huanrao, Yoyo")),"HDAL",
IF(OR(WEEKDAY(Z$16,2)=7,AND(WEEKDAY(Z$16,2)=6,SUMPRODUCT(($B$9:$AG$10=IFERROR(VLOOKUP($B31,'On call stat'!$S$3:$T$20,2,FALSE),""))*($B$3:$AG$3=Z$16))&gt;0)),"DO",
IF(SUMPRODUCT(($B$9:$AG$10=IFERROR(VLOOKUP($B31,'On call stat'!$S$3:$T$20,2,FALSE),""))*($B$3:$AG$3=Z$16))&gt;0,"AL",
IF(WEEKDAY(Z$16,2)=6,
IF($B31="Chan, Man Wai","HD",
IF($B31="Ng Suet Ping, Yoko","HD",
IF($B31="Li Mui Ying","HD1",
IF($B31="Huang Huanrao, Yoyo",IF(MOD(Z$13,2)=1,"HD2",IFERROR(IF(SUMPRODUCT(($B$3:$AG$3=Z$16)*($B$5:$AG$7=VLOOKUP($B31,'On call stat'!$S$3:$T$10,2,FALSE)))&gt;0,"D","DO"),"DO")),
IF($B31="Lee Ka Po, Kathy",IF(MOD(Z$13,2)=0,"HD2",IFERROR(IF(SUMPRODUCT(($B$3:$AG$3=Z$16)*($B$5:$AG$7=VLOOKUP($B31,'On call stat'!$S$3:$T$10,2,FALSE)))&gt;0,"D","DO"),"DO")),
IF($B31="Fan Hoi Wan, Ivy",IF(MOD(Z$13,2)=0,"D",IFERROR(IF(SUMPRODUCT(($B$3:$AG$3=Z$16)*($B$5:$AG$7=VLOOKUP($B31,'On call stat'!$S$3:$T$10,2,FALSE)))&gt;0,"D","DO"),"DO")),
IFERROR(IF(SUMPRODUCT(($B$3:$AG$3=Z$16)*($B$5:$AG$7=VLOOKUP($B31,'On call stat'!$S$3:$T$10,2,FALSE)))&gt;0,"D","DO"),"DO"))))))),
IF($B31="Huang Huanrao, Yoyo",IF(MOD(Z$13,2)=1,"D1","B6"),
IF($B31="Lee Ka Po, Kathy",IF(MOD(Z$13,2)=0,"D1","B6"),
IFERROR(IF(SUMPRODUCT(($B$3:$AG$3=Z$16)*($B$5:$AG$7=VLOOKUP($B31,'On call stat'!$S$3:$T$10,2,FALSE)))&gt;0,"E","D"),"D"))))))))</f>
        <v>D</v>
      </c>
      <c r="AA31" s="40" t="str">
        <f>IF(COUNTIF(PH!$A:$A,AA$16)&gt;0,"PH",
IF(AND(SUMPRODUCT(($B$9:$AG$10=IFERROR(VLOOKUP($B31,'On call stat'!$S$3:$T$20,2,FALSE),""))*($B$3:$AG$3=AA$16))&gt;0,OR(WEEKDAY(AA$16,2)=6,),OR($B31="Chan, Man Wai",$B31="Ng Suet Ping, Yoko",$B31="Li Mui Ying",$B31="Lee Ka Po, Kathy",$B31="Huang Huanrao, Yoyo")),"HDAL",
IF(OR(WEEKDAY(AA$16,2)=7,AND(WEEKDAY(AA$16,2)=6,SUMPRODUCT(($B$9:$AG$10=IFERROR(VLOOKUP($B31,'On call stat'!$S$3:$T$20,2,FALSE),""))*($B$3:$AG$3=AA$16))&gt;0)),"DO",
IF(SUMPRODUCT(($B$9:$AG$10=IFERROR(VLOOKUP($B31,'On call stat'!$S$3:$T$20,2,FALSE),""))*($B$3:$AG$3=AA$16))&gt;0,"AL",
IF(WEEKDAY(AA$16,2)=6,
IF($B31="Chan, Man Wai","HD",
IF($B31="Ng Suet Ping, Yoko","HD",
IF($B31="Li Mui Ying","HD1",
IF($B31="Huang Huanrao, Yoyo",IF(MOD(AA$13,2)=1,"HD2",IFERROR(IF(SUMPRODUCT(($B$3:$AG$3=AA$16)*($B$5:$AG$7=VLOOKUP($B31,'On call stat'!$S$3:$T$10,2,FALSE)))&gt;0,"D","DO"),"DO")),
IF($B31="Lee Ka Po, Kathy",IF(MOD(AA$13,2)=0,"HD2",IFERROR(IF(SUMPRODUCT(($B$3:$AG$3=AA$16)*($B$5:$AG$7=VLOOKUP($B31,'On call stat'!$S$3:$T$10,2,FALSE)))&gt;0,"D","DO"),"DO")),
IF($B31="Fan Hoi Wan, Ivy",IF(MOD(AA$13,2)=0,"D",IFERROR(IF(SUMPRODUCT(($B$3:$AG$3=AA$16)*($B$5:$AG$7=VLOOKUP($B31,'On call stat'!$S$3:$T$10,2,FALSE)))&gt;0,"D","DO"),"DO")),
IFERROR(IF(SUMPRODUCT(($B$3:$AG$3=AA$16)*($B$5:$AG$7=VLOOKUP($B31,'On call stat'!$S$3:$T$10,2,FALSE)))&gt;0,"D","DO"),"DO"))))))),
IF($B31="Huang Huanrao, Yoyo",IF(MOD(AA$13,2)=1,"D1","B6"),
IF($B31="Lee Ka Po, Kathy",IF(MOD(AA$13,2)=0,"D1","B6"),
IFERROR(IF(SUMPRODUCT(($B$3:$AG$3=AA$16)*($B$5:$AG$7=VLOOKUP($B31,'On call stat'!$S$3:$T$10,2,FALSE)))&gt;0,"E","D"),"D"))))))))</f>
        <v>PH</v>
      </c>
      <c r="AB31" s="40" t="str">
        <f>IF(COUNTIF(PH!$A:$A,AB$16)&gt;0,"PH",
IF(AND(SUMPRODUCT(($B$9:$AG$10=IFERROR(VLOOKUP($B31,'On call stat'!$S$3:$T$20,2,FALSE),""))*($B$3:$AG$3=AB$16))&gt;0,OR(WEEKDAY(AB$16,2)=6,),OR($B31="Chan, Man Wai",$B31="Ng Suet Ping, Yoko",$B31="Li Mui Ying",$B31="Lee Ka Po, Kathy",$B31="Huang Huanrao, Yoyo")),"HDAL",
IF(OR(WEEKDAY(AB$16,2)=7,AND(WEEKDAY(AB$16,2)=6,SUMPRODUCT(($B$9:$AG$10=IFERROR(VLOOKUP($B31,'On call stat'!$S$3:$T$20,2,FALSE),""))*($B$3:$AG$3=AB$16))&gt;0)),"DO",
IF(SUMPRODUCT(($B$9:$AG$10=IFERROR(VLOOKUP($B31,'On call stat'!$S$3:$T$20,2,FALSE),""))*($B$3:$AG$3=AB$16))&gt;0,"AL",
IF(WEEKDAY(AB$16,2)=6,
IF($B31="Chan, Man Wai","HD",
IF($B31="Ng Suet Ping, Yoko","HD",
IF($B31="Li Mui Ying","HD1",
IF($B31="Huang Huanrao, Yoyo",IF(MOD(AB$13,2)=1,"HD2",IFERROR(IF(SUMPRODUCT(($B$3:$AG$3=AB$16)*($B$5:$AG$7=VLOOKUP($B31,'On call stat'!$S$3:$T$10,2,FALSE)))&gt;0,"D","DO"),"DO")),
IF($B31="Lee Ka Po, Kathy",IF(MOD(AB$13,2)=0,"HD2",IFERROR(IF(SUMPRODUCT(($B$3:$AG$3=AB$16)*($B$5:$AG$7=VLOOKUP($B31,'On call stat'!$S$3:$T$10,2,FALSE)))&gt;0,"D","DO"),"DO")),
IF($B31="Fan Hoi Wan, Ivy",IF(MOD(AB$13,2)=0,"D",IFERROR(IF(SUMPRODUCT(($B$3:$AG$3=AB$16)*($B$5:$AG$7=VLOOKUP($B31,'On call stat'!$S$3:$T$10,2,FALSE)))&gt;0,"D","DO"),"DO")),
IFERROR(IF(SUMPRODUCT(($B$3:$AG$3=AB$16)*($B$5:$AG$7=VLOOKUP($B31,'On call stat'!$S$3:$T$10,2,FALSE)))&gt;0,"D","DO"),"DO"))))))),
IF($B31="Huang Huanrao, Yoyo",IF(MOD(AB$13,2)=1,"D1","B6"),
IF($B31="Lee Ka Po, Kathy",IF(MOD(AB$13,2)=0,"D1","B6"),
IFERROR(IF(SUMPRODUCT(($B$3:$AG$3=AB$16)*($B$5:$AG$7=VLOOKUP($B31,'On call stat'!$S$3:$T$10,2,FALSE)))&gt;0,"E","D"),"D"))))))))</f>
        <v>PH</v>
      </c>
      <c r="AC31" s="40" t="str">
        <f>IF(COUNTIF(PH!$A:$A,AC$16)&gt;0,"PH",
IF(AND(SUMPRODUCT(($B$9:$AG$10=IFERROR(VLOOKUP($B31,'On call stat'!$S$3:$T$20,2,FALSE),""))*($B$3:$AG$3=AC$16))&gt;0,OR(WEEKDAY(AC$16,2)=6,),OR($B31="Chan, Man Wai",$B31="Ng Suet Ping, Yoko",$B31="Li Mui Ying",$B31="Lee Ka Po, Kathy",$B31="Huang Huanrao, Yoyo")),"HDAL",
IF(OR(WEEKDAY(AC$16,2)=7,AND(WEEKDAY(AC$16,2)=6,SUMPRODUCT(($B$9:$AG$10=IFERROR(VLOOKUP($B31,'On call stat'!$S$3:$T$20,2,FALSE),""))*($B$3:$AG$3=AC$16))&gt;0)),"DO",
IF(SUMPRODUCT(($B$9:$AG$10=IFERROR(VLOOKUP($B31,'On call stat'!$S$3:$T$20,2,FALSE),""))*($B$3:$AG$3=AC$16))&gt;0,"AL",
IF(WEEKDAY(AC$16,2)=6,
IF($B31="Chan, Man Wai","HD",
IF($B31="Ng Suet Ping, Yoko","HD",
IF($B31="Li Mui Ying","HD1",
IF($B31="Huang Huanrao, Yoyo",IF(MOD(AC$13,2)=1,"HD2",IFERROR(IF(SUMPRODUCT(($B$3:$AG$3=AC$16)*($B$5:$AG$7=VLOOKUP($B31,'On call stat'!$S$3:$T$10,2,FALSE)))&gt;0,"D","DO"),"DO")),
IF($B31="Lee Ka Po, Kathy",IF(MOD(AC$13,2)=0,"HD2",IFERROR(IF(SUMPRODUCT(($B$3:$AG$3=AC$16)*($B$5:$AG$7=VLOOKUP($B31,'On call stat'!$S$3:$T$10,2,FALSE)))&gt;0,"D","DO"),"DO")),
IF($B31="Fan Hoi Wan, Ivy",IF(MOD(AC$13,2)=0,"D",IFERROR(IF(SUMPRODUCT(($B$3:$AG$3=AC$16)*($B$5:$AG$7=VLOOKUP($B31,'On call stat'!$S$3:$T$10,2,FALSE)))&gt;0,"D","DO"),"DO")),
IFERROR(IF(SUMPRODUCT(($B$3:$AG$3=AC$16)*($B$5:$AG$7=VLOOKUP($B31,'On call stat'!$S$3:$T$10,2,FALSE)))&gt;0,"D","DO"),"DO"))))))),
IF($B31="Huang Huanrao, Yoyo",IF(MOD(AC$13,2)=1,"D1","B6"),
IF($B31="Lee Ka Po, Kathy",IF(MOD(AC$13,2)=0,"D1","B6"),
IFERROR(IF(SUMPRODUCT(($B$3:$AG$3=AC$16)*($B$5:$AG$7=VLOOKUP($B31,'On call stat'!$S$3:$T$10,2,FALSE)))&gt;0,"E","D"),"D"))))))))</f>
        <v>DO</v>
      </c>
      <c r="AD31" s="40" t="str">
        <f>IF(COUNTIF(PH!$A:$A,AD$16)&gt;0,"PH",
IF(AND(SUMPRODUCT(($B$9:$AG$10=IFERROR(VLOOKUP($B31,'On call stat'!$S$3:$T$20,2,FALSE),""))*($B$3:$AG$3=AD$16))&gt;0,OR(WEEKDAY(AD$16,2)=6,),OR($B31="Chan, Man Wai",$B31="Ng Suet Ping, Yoko",$B31="Li Mui Ying",$B31="Lee Ka Po, Kathy",$B31="Huang Huanrao, Yoyo")),"HDAL",
IF(OR(WEEKDAY(AD$16,2)=7,AND(WEEKDAY(AD$16,2)=6,SUMPRODUCT(($B$9:$AG$10=IFERROR(VLOOKUP($B31,'On call stat'!$S$3:$T$20,2,FALSE),""))*($B$3:$AG$3=AD$16))&gt;0)),"DO",
IF(SUMPRODUCT(($B$9:$AG$10=IFERROR(VLOOKUP($B31,'On call stat'!$S$3:$T$20,2,FALSE),""))*($B$3:$AG$3=AD$16))&gt;0,"AL",
IF(WEEKDAY(AD$16,2)=6,
IF($B31="Chan, Man Wai","HD",
IF($B31="Ng Suet Ping, Yoko","HD",
IF($B31="Li Mui Ying","HD1",
IF($B31="Huang Huanrao, Yoyo",IF(MOD(AD$13,2)=1,"HD2",IFERROR(IF(SUMPRODUCT(($B$3:$AG$3=AD$16)*($B$5:$AG$7=VLOOKUP($B31,'On call stat'!$S$3:$T$10,2,FALSE)))&gt;0,"D","DO"),"DO")),
IF($B31="Lee Ka Po, Kathy",IF(MOD(AD$13,2)=0,"HD2",IFERROR(IF(SUMPRODUCT(($B$3:$AG$3=AD$16)*($B$5:$AG$7=VLOOKUP($B31,'On call stat'!$S$3:$T$10,2,FALSE)))&gt;0,"D","DO"),"DO")),
IF($B31="Fan Hoi Wan, Ivy",IF(MOD(AD$13,2)=0,"D",IFERROR(IF(SUMPRODUCT(($B$3:$AG$3=AD$16)*($B$5:$AG$7=VLOOKUP($B31,'On call stat'!$S$3:$T$10,2,FALSE)))&gt;0,"D","DO"),"DO")),
IFERROR(IF(SUMPRODUCT(($B$3:$AG$3=AD$16)*($B$5:$AG$7=VLOOKUP($B31,'On call stat'!$S$3:$T$10,2,FALSE)))&gt;0,"D","DO"),"DO"))))))),
IF($B31="Huang Huanrao, Yoyo",IF(MOD(AD$13,2)=1,"D1","B6"),
IF($B31="Lee Ka Po, Kathy",IF(MOD(AD$13,2)=0,"D1","B6"),
IFERROR(IF(SUMPRODUCT(($B$3:$AG$3=AD$16)*($B$5:$AG$7=VLOOKUP($B31,'On call stat'!$S$3:$T$10,2,FALSE)))&gt;0,"E","D"),"D"))))))))</f>
        <v>D</v>
      </c>
      <c r="AE31" s="40" t="str">
        <f>IF(COUNTIF(PH!$A:$A,AE$16)&gt;0,"PH",
IF(AND(SUMPRODUCT(($B$9:$AG$10=IFERROR(VLOOKUP($B31,'On call stat'!$S$3:$T$20,2,FALSE),""))*($B$3:$AG$3=AE$16))&gt;0,OR(WEEKDAY(AE$16,2)=6,),OR($B31="Chan, Man Wai",$B31="Ng Suet Ping, Yoko",$B31="Li Mui Ying",$B31="Lee Ka Po, Kathy",$B31="Huang Huanrao, Yoyo")),"HDAL",
IF(OR(WEEKDAY(AE$16,2)=7,AND(WEEKDAY(AE$16,2)=6,SUMPRODUCT(($B$9:$AG$10=IFERROR(VLOOKUP($B31,'On call stat'!$S$3:$T$20,2,FALSE),""))*($B$3:$AG$3=AE$16))&gt;0)),"DO",
IF(SUMPRODUCT(($B$9:$AG$10=IFERROR(VLOOKUP($B31,'On call stat'!$S$3:$T$20,2,FALSE),""))*($B$3:$AG$3=AE$16))&gt;0,"AL",
IF(WEEKDAY(AE$16,2)=6,
IF($B31="Chan, Man Wai","HD",
IF($B31="Ng Suet Ping, Yoko","HD",
IF($B31="Li Mui Ying","HD1",
IF($B31="Huang Huanrao, Yoyo",IF(MOD(AE$13,2)=1,"HD2",IFERROR(IF(SUMPRODUCT(($B$3:$AG$3=AE$16)*($B$5:$AG$7=VLOOKUP($B31,'On call stat'!$S$3:$T$10,2,FALSE)))&gt;0,"D","DO"),"DO")),
IF($B31="Lee Ka Po, Kathy",IF(MOD(AE$13,2)=0,"HD2",IFERROR(IF(SUMPRODUCT(($B$3:$AG$3=AE$16)*($B$5:$AG$7=VLOOKUP($B31,'On call stat'!$S$3:$T$10,2,FALSE)))&gt;0,"D","DO"),"DO")),
IF($B31="Fan Hoi Wan, Ivy",IF(MOD(AE$13,2)=0,"D",IFERROR(IF(SUMPRODUCT(($B$3:$AG$3=AE$16)*($B$5:$AG$7=VLOOKUP($B31,'On call stat'!$S$3:$T$10,2,FALSE)))&gt;0,"D","DO"),"DO")),
IFERROR(IF(SUMPRODUCT(($B$3:$AG$3=AE$16)*($B$5:$AG$7=VLOOKUP($B31,'On call stat'!$S$3:$T$10,2,FALSE)))&gt;0,"D","DO"),"DO"))))))),
IF($B31="Huang Huanrao, Yoyo",IF(MOD(AE$13,2)=1,"D1","B6"),
IF($B31="Lee Ka Po, Kathy",IF(MOD(AE$13,2)=0,"D1","B6"),
IFERROR(IF(SUMPRODUCT(($B$3:$AG$3=AE$16)*($B$5:$AG$7=VLOOKUP($B31,'On call stat'!$S$3:$T$10,2,FALSE)))&gt;0,"E","D"),"D"))))))))</f>
        <v>D</v>
      </c>
      <c r="AF31" s="40" t="str">
        <f>IF(COUNTIF(PH!$A:$A,AF$16)&gt;0,"PH",
IF(AND(SUMPRODUCT(($B$9:$AG$10=IFERROR(VLOOKUP($B31,'On call stat'!$S$3:$T$20,2,FALSE),""))*($B$3:$AG$3=AF$16))&gt;0,OR(WEEKDAY(AF$16,2)=6,),OR($B31="Chan, Man Wai",$B31="Ng Suet Ping, Yoko",$B31="Li Mui Ying",$B31="Lee Ka Po, Kathy",$B31="Huang Huanrao, Yoyo")),"HDAL",
IF(OR(WEEKDAY(AF$16,2)=7,AND(WEEKDAY(AF$16,2)=6,SUMPRODUCT(($B$9:$AG$10=IFERROR(VLOOKUP($B31,'On call stat'!$S$3:$T$20,2,FALSE),""))*($B$3:$AG$3=AF$16))&gt;0)),"DO",
IF(SUMPRODUCT(($B$9:$AG$10=IFERROR(VLOOKUP($B31,'On call stat'!$S$3:$T$20,2,FALSE),""))*($B$3:$AG$3=AF$16))&gt;0,"AL",
IF(WEEKDAY(AF$16,2)=6,
IF($B31="Chan, Man Wai","HD",
IF($B31="Ng Suet Ping, Yoko","HD",
IF($B31="Li Mui Ying","HD1",
IF($B31="Huang Huanrao, Yoyo",IF(MOD(AF$13,2)=1,"HD2",IFERROR(IF(SUMPRODUCT(($B$3:$AG$3=AF$16)*($B$5:$AG$7=VLOOKUP($B31,'On call stat'!$S$3:$T$10,2,FALSE)))&gt;0,"D","DO"),"DO")),
IF($B31="Lee Ka Po, Kathy",IF(MOD(AF$13,2)=0,"HD2",IFERROR(IF(SUMPRODUCT(($B$3:$AG$3=AF$16)*($B$5:$AG$7=VLOOKUP($B31,'On call stat'!$S$3:$T$10,2,FALSE)))&gt;0,"D","DO"),"DO")),
IF($B31="Fan Hoi Wan, Ivy",IF(MOD(AF$13,2)=0,"D",IFERROR(IF(SUMPRODUCT(($B$3:$AG$3=AF$16)*($B$5:$AG$7=VLOOKUP($B31,'On call stat'!$S$3:$T$10,2,FALSE)))&gt;0,"D","DO"),"DO")),
IFERROR(IF(SUMPRODUCT(($B$3:$AG$3=AF$16)*($B$5:$AG$7=VLOOKUP($B31,'On call stat'!$S$3:$T$10,2,FALSE)))&gt;0,"D","DO"),"DO"))))))),
IF($B31="Huang Huanrao, Yoyo",IF(MOD(AF$13,2)=1,"D1","B6"),
IF($B31="Lee Ka Po, Kathy",IF(MOD(AF$13,2)=0,"D1","B6"),
IFERROR(IF(SUMPRODUCT(($B$3:$AG$3=AF$16)*($B$5:$AG$7=VLOOKUP($B31,'On call stat'!$S$3:$T$10,2,FALSE)))&gt;0,"E","D"),"D"))))))))</f>
        <v>D</v>
      </c>
      <c r="AG31" s="40" t="str">
        <f>IF(COUNTIF(PH!$A:$A,AG$16)&gt;0,"PH",
IF(AND(SUMPRODUCT(($B$9:$AG$10=IFERROR(VLOOKUP($B31,'On call stat'!$S$3:$T$20,2,FALSE),""))*($B$3:$AG$3=AG$16))&gt;0,OR(WEEKDAY(AG$16,2)=6,),OR($B31="Chan, Man Wai",$B31="Ng Suet Ping, Yoko",$B31="Li Mui Ying",$B31="Lee Ka Po, Kathy",$B31="Huang Huanrao, Yoyo")),"HDAL",
IF(OR(WEEKDAY(AG$16,2)=7,AND(WEEKDAY(AG$16,2)=6,SUMPRODUCT(($B$9:$AG$10=IFERROR(VLOOKUP($B31,'On call stat'!$S$3:$T$20,2,FALSE),""))*($B$3:$AG$3=AG$16))&gt;0)),"DO",
IF(SUMPRODUCT(($B$9:$AG$10=IFERROR(VLOOKUP($B31,'On call stat'!$S$3:$T$20,2,FALSE),""))*($B$3:$AG$3=AG$16))&gt;0,"AL",
IF(WEEKDAY(AG$16,2)=6,
IF($B31="Chan, Man Wai","HD",
IF($B31="Ng Suet Ping, Yoko","HD",
IF($B31="Li Mui Ying","HD1",
IF($B31="Huang Huanrao, Yoyo",IF(MOD(AG$13,2)=1,"HD2",IFERROR(IF(SUMPRODUCT(($B$3:$AG$3=AG$16)*($B$5:$AG$7=VLOOKUP($B31,'On call stat'!$S$3:$T$10,2,FALSE)))&gt;0,"D","DO"),"DO")),
IF($B31="Lee Ka Po, Kathy",IF(MOD(AG$13,2)=0,"HD2",IFERROR(IF(SUMPRODUCT(($B$3:$AG$3=AG$16)*($B$5:$AG$7=VLOOKUP($B31,'On call stat'!$S$3:$T$10,2,FALSE)))&gt;0,"D","DO"),"DO")),
IF($B31="Fan Hoi Wan, Ivy",IF(MOD(AG$13,2)=0,"D",IFERROR(IF(SUMPRODUCT(($B$3:$AG$3=AG$16)*($B$5:$AG$7=VLOOKUP($B31,'On call stat'!$S$3:$T$10,2,FALSE)))&gt;0,"D","DO"),"DO")),
IFERROR(IF(SUMPRODUCT(($B$3:$AG$3=AG$16)*($B$5:$AG$7=VLOOKUP($B31,'On call stat'!$S$3:$T$10,2,FALSE)))&gt;0,"D","DO"),"DO"))))))),
IF($B31="Huang Huanrao, Yoyo",IF(MOD(AG$13,2)=1,"D1","B6"),
IF($B31="Lee Ka Po, Kathy",IF(MOD(AG$13,2)=0,"D1","B6"),
IFERROR(IF(SUMPRODUCT(($B$3:$AG$3=AG$16)*($B$5:$AG$7=VLOOKUP($B31,'On call stat'!$S$3:$T$10,2,FALSE)))&gt;0,"E","D"),"D"))))))))</f>
        <v>D</v>
      </c>
      <c r="AK31" s="11" t="s">
        <v>136</v>
      </c>
      <c r="AL31" s="11">
        <f>SUMPRODUCT((C31:AG31="D")*8) + SUMPRODUCT((C31:AG31="E")*8) + SUMPRODUCT((C31:AG31="HD1")*4)</f>
        <v>188</v>
      </c>
      <c r="AM31" s="66" cm="1">
        <f t="array" ref="AM31">SUMPRODUCT((C31:AG31="AL") *  (COUNTIF(PH!$A:$A, C$16:AG$16)=0) *(WEEKDAY(C$16:AG$16,2)&lt;=5) *  8)+SUMPRODUCT((C31:AG31="HDAL") *  (COUNTIF(PH!$A:$A, C$16:AG$16)=0) *(WEEKDAY(C$16:AG$16,2)&lt;=6) *  4)</f>
        <v>0</v>
      </c>
      <c r="AN31" s="68">
        <f t="shared" si="5"/>
        <v>188</v>
      </c>
      <c r="AO31" s="67">
        <f t="shared" ref="AO31" si="7">AN31-$AN$18</f>
        <v>0</v>
      </c>
      <c r="AP31" s="67">
        <f>AO31+Nov!AP31</f>
        <v>0</v>
      </c>
    </row>
    <row r="32" spans="1:42">
      <c r="A32" s="28"/>
      <c r="B32" s="28"/>
      <c r="C32" s="28" t="s">
        <v>72</v>
      </c>
      <c r="D32" s="28"/>
      <c r="E32" s="28"/>
      <c r="F32" s="28"/>
      <c r="G32" s="28" t="s">
        <v>73</v>
      </c>
      <c r="H32" s="28"/>
      <c r="I32" s="28"/>
      <c r="J32" s="28"/>
      <c r="K32" s="29"/>
      <c r="L32" s="28" t="s">
        <v>74</v>
      </c>
      <c r="M32" s="28"/>
      <c r="N32" s="29"/>
      <c r="O32" s="28"/>
      <c r="P32" s="28"/>
    </row>
    <row r="33" spans="1:16">
      <c r="A33" s="29"/>
      <c r="B33" s="30" t="s">
        <v>75</v>
      </c>
      <c r="C33" s="28" t="s">
        <v>76</v>
      </c>
      <c r="D33" s="28"/>
      <c r="E33" s="28"/>
      <c r="F33" s="28"/>
      <c r="G33" s="28" t="s">
        <v>77</v>
      </c>
      <c r="H33" s="28"/>
      <c r="I33" s="28"/>
      <c r="J33" s="28"/>
      <c r="K33" s="29"/>
      <c r="L33" s="28" t="s">
        <v>78</v>
      </c>
      <c r="M33" s="28"/>
      <c r="N33" s="29"/>
      <c r="O33" s="29"/>
      <c r="P33" s="28"/>
    </row>
    <row r="34" spans="1:16">
      <c r="A34" s="31"/>
      <c r="B34" s="31" t="s">
        <v>79</v>
      </c>
      <c r="C34" s="28" t="s">
        <v>80</v>
      </c>
      <c r="D34" s="28"/>
      <c r="E34" s="28"/>
      <c r="F34" s="28"/>
      <c r="G34" s="28" t="s">
        <v>81</v>
      </c>
      <c r="H34" s="29"/>
      <c r="I34" s="29"/>
      <c r="J34" s="28"/>
      <c r="K34" s="29"/>
      <c r="L34" s="28" t="s">
        <v>82</v>
      </c>
      <c r="M34" s="28"/>
      <c r="N34" s="28"/>
      <c r="O34" s="29"/>
      <c r="P34" s="28"/>
    </row>
    <row r="35" spans="1:16">
      <c r="A35" s="29"/>
      <c r="B35" s="30" t="s">
        <v>83</v>
      </c>
      <c r="C35" s="28" t="s">
        <v>84</v>
      </c>
      <c r="D35" s="28"/>
      <c r="E35" s="28"/>
      <c r="F35" s="28"/>
      <c r="G35" s="28" t="s">
        <v>85</v>
      </c>
      <c r="H35" s="28"/>
      <c r="I35" s="28"/>
      <c r="J35" s="28"/>
      <c r="K35" s="29"/>
      <c r="L35" s="28" t="s">
        <v>86</v>
      </c>
      <c r="M35" s="28"/>
      <c r="N35" s="29"/>
      <c r="O35" s="29"/>
      <c r="P35" s="28"/>
    </row>
    <row r="36" spans="1:16">
      <c r="A36" s="32" t="s">
        <v>87</v>
      </c>
      <c r="B36" s="33" t="s">
        <v>88</v>
      </c>
      <c r="C36" s="28" t="s">
        <v>89</v>
      </c>
      <c r="D36" s="28"/>
      <c r="E36" s="28"/>
      <c r="F36" s="34"/>
      <c r="G36" s="28" t="s">
        <v>90</v>
      </c>
      <c r="H36" s="28"/>
      <c r="I36" s="28"/>
      <c r="J36" s="28"/>
      <c r="K36" s="29"/>
      <c r="L36" s="28" t="s">
        <v>91</v>
      </c>
      <c r="M36" s="29"/>
      <c r="N36" s="29"/>
      <c r="O36" s="29"/>
      <c r="P36" s="28"/>
    </row>
    <row r="37" spans="1:16">
      <c r="A37" s="35" t="s">
        <v>92</v>
      </c>
      <c r="B37" s="33"/>
      <c r="C37" s="28" t="s">
        <v>93</v>
      </c>
      <c r="D37" s="28"/>
      <c r="E37" s="28"/>
      <c r="F37" s="28"/>
      <c r="G37" s="28" t="s">
        <v>94</v>
      </c>
      <c r="H37" s="28"/>
      <c r="I37" s="28"/>
      <c r="J37" s="28"/>
      <c r="K37" s="29"/>
      <c r="L37" s="29" t="s">
        <v>95</v>
      </c>
      <c r="M37" s="29"/>
      <c r="N37" s="29"/>
      <c r="O37" s="29"/>
      <c r="P37" s="28"/>
    </row>
    <row r="38" spans="1:16">
      <c r="A38" s="31" t="s">
        <v>96</v>
      </c>
      <c r="B38" s="31"/>
      <c r="C38" s="28" t="s">
        <v>97</v>
      </c>
      <c r="D38" s="28"/>
      <c r="E38" s="28"/>
      <c r="F38" s="28"/>
      <c r="G38" s="28" t="s">
        <v>98</v>
      </c>
      <c r="H38" s="28"/>
      <c r="I38" s="29"/>
      <c r="J38" s="29"/>
      <c r="K38" s="29"/>
      <c r="L38" s="29" t="s">
        <v>99</v>
      </c>
      <c r="M38" s="29"/>
      <c r="N38" s="29"/>
      <c r="O38" s="29"/>
      <c r="P38" s="29"/>
    </row>
    <row r="39" spans="1:16">
      <c r="A39" s="29"/>
      <c r="B39" s="29"/>
      <c r="C39" s="28" t="s">
        <v>100</v>
      </c>
      <c r="D39" s="28"/>
      <c r="E39" s="28"/>
      <c r="F39" s="29"/>
      <c r="G39" s="28" t="s">
        <v>101</v>
      </c>
      <c r="H39" s="28"/>
      <c r="I39" s="29"/>
      <c r="J39" s="29"/>
      <c r="K39" s="29"/>
      <c r="L39" s="29"/>
      <c r="M39" s="29"/>
      <c r="N39" s="29"/>
      <c r="O39" s="29"/>
      <c r="P39" s="28"/>
    </row>
    <row r="40" spans="1:16">
      <c r="A40" s="34"/>
      <c r="B40" s="28"/>
      <c r="C40" s="28" t="s">
        <v>102</v>
      </c>
      <c r="D40" s="28"/>
      <c r="E40" s="28"/>
      <c r="F40" s="29"/>
      <c r="G40" s="28" t="s">
        <v>103</v>
      </c>
      <c r="H40" s="28"/>
      <c r="I40" s="29"/>
      <c r="J40" s="29"/>
      <c r="K40" s="29"/>
      <c r="L40" s="29"/>
      <c r="M40" s="29"/>
      <c r="N40" s="29"/>
      <c r="O40" s="29"/>
      <c r="P40" s="28"/>
    </row>
    <row r="41" spans="1:16">
      <c r="A41" s="34"/>
      <c r="B41" s="28"/>
      <c r="C41" s="28" t="s">
        <v>104</v>
      </c>
      <c r="D41" s="28"/>
      <c r="E41" s="28"/>
      <c r="F41" s="29"/>
      <c r="G41" s="28" t="s">
        <v>105</v>
      </c>
      <c r="H41" s="28"/>
      <c r="I41" s="29"/>
      <c r="J41" s="29"/>
      <c r="K41" s="29"/>
      <c r="L41" s="29"/>
      <c r="M41" s="29"/>
      <c r="N41" s="29"/>
      <c r="O41" s="29"/>
      <c r="P41" s="28"/>
    </row>
    <row r="42" spans="1:16">
      <c r="A42" s="34"/>
      <c r="B42" s="28"/>
      <c r="C42" s="28" t="s">
        <v>106</v>
      </c>
      <c r="D42" s="28"/>
      <c r="E42" s="28"/>
      <c r="F42" s="29"/>
      <c r="G42" s="28" t="s">
        <v>107</v>
      </c>
      <c r="H42" s="28"/>
      <c r="I42" s="29"/>
      <c r="J42" s="29"/>
      <c r="K42" s="29"/>
      <c r="L42" s="29"/>
      <c r="M42" s="29"/>
      <c r="N42" s="29"/>
      <c r="O42" s="29"/>
      <c r="P42" s="28"/>
    </row>
    <row r="43" spans="1:16">
      <c r="A43" s="29"/>
      <c r="B43" s="29"/>
      <c r="C43" s="28" t="s">
        <v>108</v>
      </c>
      <c r="D43" s="28"/>
      <c r="E43" s="28"/>
      <c r="F43" s="29"/>
      <c r="G43" s="28" t="s">
        <v>109</v>
      </c>
      <c r="H43" s="28"/>
      <c r="I43" s="29"/>
      <c r="J43" s="29"/>
      <c r="K43" s="29"/>
      <c r="L43" s="29"/>
      <c r="M43" s="29"/>
      <c r="N43" s="25"/>
      <c r="O43" s="29"/>
      <c r="P43" s="28"/>
    </row>
    <row r="44" spans="1:16">
      <c r="A44" s="29"/>
      <c r="B44" s="29"/>
      <c r="C44" s="28" t="s">
        <v>110</v>
      </c>
      <c r="D44" s="28"/>
      <c r="E44" s="28"/>
      <c r="F44" s="29"/>
      <c r="G44" s="28" t="s">
        <v>111</v>
      </c>
      <c r="H44" s="28"/>
      <c r="I44" s="28"/>
      <c r="J44" s="29"/>
      <c r="K44" s="29"/>
      <c r="L44" s="29"/>
      <c r="M44" s="28"/>
      <c r="N44" s="29"/>
      <c r="O44" s="29"/>
      <c r="P44" s="29"/>
    </row>
    <row r="45" spans="1:16">
      <c r="A45" s="29"/>
      <c r="B45" s="29"/>
      <c r="C45" s="28" t="s">
        <v>112</v>
      </c>
      <c r="D45" s="28"/>
      <c r="E45" s="28"/>
      <c r="F45" s="29"/>
      <c r="G45" s="28" t="s">
        <v>113</v>
      </c>
      <c r="H45" s="28"/>
      <c r="I45" s="28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8" t="s">
        <v>114</v>
      </c>
      <c r="D46" s="28"/>
      <c r="E46" s="29"/>
      <c r="F46" s="29"/>
      <c r="G46" s="28" t="s">
        <v>115</v>
      </c>
      <c r="H46" s="28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8" t="s">
        <v>116</v>
      </c>
      <c r="D47" s="28"/>
      <c r="E47" s="28"/>
      <c r="F47" s="29"/>
      <c r="G47" s="28"/>
      <c r="H47" s="28"/>
      <c r="I47" s="29"/>
      <c r="J47" s="29"/>
      <c r="K47" s="28"/>
      <c r="L47" s="29"/>
      <c r="M47" s="29"/>
      <c r="N47" s="29"/>
      <c r="O47" s="29"/>
      <c r="P47" s="29"/>
    </row>
    <row r="48" spans="1:16">
      <c r="A48" s="36" t="s">
        <v>122</v>
      </c>
      <c r="B48" s="36"/>
      <c r="C48" s="28"/>
      <c r="D48" s="28"/>
      <c r="E48" s="28"/>
      <c r="F48" s="29"/>
      <c r="G48" s="28"/>
      <c r="H48" s="28"/>
      <c r="I48" s="29"/>
      <c r="J48" s="29"/>
      <c r="K48" s="29"/>
      <c r="L48" s="29"/>
      <c r="M48" s="29"/>
      <c r="N48" s="29"/>
      <c r="O48" s="29"/>
      <c r="P48" s="29"/>
    </row>
  </sheetData>
  <mergeCells count="6">
    <mergeCell ref="AP16:AP17"/>
    <mergeCell ref="AN16:AN17"/>
    <mergeCell ref="AO16:AO17"/>
    <mergeCell ref="AK16:AK17"/>
    <mergeCell ref="AL16:AL17"/>
    <mergeCell ref="AM16:AM17"/>
  </mergeCells>
  <phoneticPr fontId="16" type="noConversion"/>
  <conditionalFormatting sqref="C3:AG3">
    <cfRule type="expression" dxfId="18" priority="40">
      <formula>B$91="sun"</formula>
    </cfRule>
  </conditionalFormatting>
  <conditionalFormatting sqref="C3:AG10">
    <cfRule type="expression" dxfId="15" priority="46">
      <formula>WEEKDAY(C3,2)=7</formula>
    </cfRule>
  </conditionalFormatting>
  <conditionalFormatting sqref="C4:AG10">
    <cfRule type="expression" dxfId="14" priority="43">
      <formula>C$4="Sun"</formula>
    </cfRule>
  </conditionalFormatting>
  <conditionalFormatting sqref="C5:AG10">
    <cfRule type="expression" dxfId="13" priority="42">
      <formula>B$91="sun"</formula>
    </cfRule>
  </conditionalFormatting>
  <conditionalFormatting sqref="C17:AG17">
    <cfRule type="expression" dxfId="10" priority="28">
      <formula>C$17="sun"</formula>
    </cfRule>
    <cfRule type="expression" dxfId="9" priority="29">
      <formula>C$17="sat"</formula>
    </cfRule>
  </conditionalFormatting>
  <conditionalFormatting sqref="C18:AG31">
    <cfRule type="expression" dxfId="8" priority="1">
      <formula>C18="HDAL"</formula>
    </cfRule>
    <cfRule type="expression" dxfId="7" priority="2">
      <formula>C18="PH"</formula>
    </cfRule>
    <cfRule type="expression" dxfId="6" priority="3">
      <formula>C18="AL"</formula>
    </cfRule>
    <cfRule type="expression" dxfId="4" priority="5">
      <formula>C18="DO"</formula>
    </cfRule>
  </conditionalFormatting>
  <conditionalFormatting sqref="AO18:AP31">
    <cfRule type="expression" dxfId="3" priority="6">
      <formula>AO18&gt;0</formula>
    </cfRule>
    <cfRule type="expression" dxfId="2" priority="7">
      <formula>AO18&lt;0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B1CE3934-DECC-479D-814D-9A2CA58F264B}">
            <xm:f>COUNTIF(PH!$A:$A, C3)&gt;0</xm:f>
            <x14:dxf>
              <font>
                <color rgb="FFFF0000"/>
              </font>
            </x14:dxf>
          </x14:cfRule>
          <x14:cfRule type="expression" priority="44" id="{14942DA9-83E2-4C32-85CE-681BAE90FFA6}">
            <xm:f>AND(COUNTIF(PH!$A:$A, C3)&gt;0, WEEKDAY(C3,2)=6)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m:sqref>C3:AG10</xm:sqref>
        </x14:conditionalFormatting>
        <x14:conditionalFormatting xmlns:xm="http://schemas.microsoft.com/office/excel/2006/main">
          <x14:cfRule type="expression" priority="13" id="{09CF7CF7-B599-4FD6-8F84-6A28CB2C9747}">
            <xm:f>AND(COUNTIF(PH!$A:$A, C16)&gt;0, WEEKDAY(C16,2)=6)</xm:f>
            <x14:dxf>
              <font>
                <color rgb="FFFF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14" id="{2263C20B-E3C5-4459-9C88-A0A643C9B3D3}">
            <xm:f>COUNTIF(PH!$A:$A, C16)&gt;0</xm:f>
            <x14:dxf>
              <font>
                <color rgb="FFFF0000"/>
              </font>
            </x14:dxf>
          </x14:cfRule>
          <xm:sqref>C16:AG16</xm:sqref>
        </x14:conditionalFormatting>
        <x14:conditionalFormatting xmlns:xm="http://schemas.microsoft.com/office/excel/2006/main">
          <x14:cfRule type="expression" priority="4" id="{DA75399F-F954-4699-A967-1ED84F7416C7}">
            <xm:f>SUMPRODUCT(($C$3:$AH$3 = C$16) * ($C$5:$AH$7 = VLOOKUP($B18, 'On call stat'!$S$3:$T$10, 2, FALSE))) &gt; 0</xm:f>
            <x14:dxf>
              <fill>
                <patternFill>
                  <bgColor theme="5" tint="0.59996337778862885"/>
                </patternFill>
              </fill>
            </x14:dxf>
          </x14:cfRule>
          <xm:sqref>C18:AG31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D4DD4CB-B09A-4C71-83A6-0C67514794FE}">
          <x14:formula1>
            <xm:f>'On call stat'!$T$3:$T$21</xm:f>
          </x14:formula1>
          <xm:sqref>C3:AG3 C5:AG10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836C-4F0B-4DE0-86EA-1FC863B9457E}">
  <sheetPr codeName="Sheet14"/>
  <dimension ref="A1:T48"/>
  <sheetViews>
    <sheetView topLeftCell="A19" workbookViewId="0">
      <selection activeCell="O45" sqref="O45"/>
    </sheetView>
  </sheetViews>
  <sheetFormatPr defaultRowHeight="15"/>
  <cols>
    <col min="1" max="1" width="13" customWidth="1"/>
    <col min="19" max="19" width="28.28515625" customWidth="1"/>
    <col min="20" max="20" width="23" customWidth="1"/>
    <col min="21" max="21" width="20.42578125" customWidth="1"/>
    <col min="22" max="26" width="74.140625" customWidth="1"/>
  </cols>
  <sheetData>
    <row r="1" spans="1:20">
      <c r="A1" t="s">
        <v>145</v>
      </c>
      <c r="B1">
        <f>Master!B1</f>
        <v>2026</v>
      </c>
      <c r="S1" s="77" t="s">
        <v>125</v>
      </c>
      <c r="T1" s="77" t="s">
        <v>50</v>
      </c>
    </row>
    <row r="2" spans="1:20">
      <c r="S2" s="77"/>
      <c r="T2" s="77"/>
    </row>
    <row r="3" spans="1:20" ht="30" customHeight="1" thickBot="1">
      <c r="A3" s="3" t="s">
        <v>20</v>
      </c>
      <c r="B3" s="74"/>
      <c r="C3" s="70" t="s">
        <v>28</v>
      </c>
      <c r="D3" s="70" t="s">
        <v>29</v>
      </c>
      <c r="E3" s="70" t="s">
        <v>30</v>
      </c>
      <c r="F3" s="70" t="s">
        <v>31</v>
      </c>
      <c r="G3" s="70" t="s">
        <v>32</v>
      </c>
      <c r="H3" s="70" t="s">
        <v>33</v>
      </c>
      <c r="I3" s="70" t="s">
        <v>34</v>
      </c>
      <c r="J3" s="70" t="s">
        <v>35</v>
      </c>
      <c r="K3" s="70" t="s">
        <v>36</v>
      </c>
      <c r="L3" s="70" t="s">
        <v>37</v>
      </c>
      <c r="M3" s="70" t="s">
        <v>38</v>
      </c>
      <c r="N3" s="70" t="s">
        <v>39</v>
      </c>
      <c r="O3" s="74" t="s">
        <v>40</v>
      </c>
      <c r="S3" s="78" t="s">
        <v>52</v>
      </c>
      <c r="T3" s="78" t="s">
        <v>118</v>
      </c>
    </row>
    <row r="4" spans="1:20" ht="15.75" thickBot="1">
      <c r="B4" s="65" t="s">
        <v>21</v>
      </c>
      <c r="C4" s="65">
        <f>COUNTIF(Master!$B$4:$AG$7,'On call stat'!$B4)</f>
        <v>0</v>
      </c>
      <c r="D4" s="65">
        <f>COUNTIF(Master!$B$14:$AC$16,'On call stat'!$B4)</f>
        <v>0</v>
      </c>
      <c r="E4" s="65">
        <f>COUNTIF(Master!$B$23:$AF$25,'On call stat'!$B4)</f>
        <v>0</v>
      </c>
      <c r="F4" s="65">
        <f>COUNTIF(Master!$B$32:$AE$34,'On call stat'!$B4)</f>
        <v>0</v>
      </c>
      <c r="G4" s="65">
        <f>COUNTIF(Master!$B$41:$AF$43,'On call stat'!$B4)</f>
        <v>0</v>
      </c>
      <c r="H4" s="65">
        <f>COUNTIF(Master!$B$50:$AE$52,'On call stat'!$B4)</f>
        <v>0</v>
      </c>
      <c r="I4" s="65">
        <f>COUNTIF(Master!$B$59:$AF$61,'On call stat'!$B4)</f>
        <v>0</v>
      </c>
      <c r="J4" s="65">
        <f>COUNTIF(Master!$B$68:$AF$70,'On call stat'!$B4)</f>
        <v>0</v>
      </c>
      <c r="K4" s="65">
        <f>COUNTIF(Master!$B$77:$AE$79,'On call stat'!$B4)</f>
        <v>0</v>
      </c>
      <c r="L4" s="65">
        <f>COUNTIF(Master!$B$86:$AF$88,'On call stat'!$B4)</f>
        <v>0</v>
      </c>
      <c r="M4" s="65">
        <f>COUNTIF(Master!$B$95:$AE$97,'On call stat'!$B4)</f>
        <v>0</v>
      </c>
      <c r="N4" s="66">
        <f>COUNTIF(Master!$B$104:$AF$106,'On call stat'!$B4)</f>
        <v>0</v>
      </c>
      <c r="O4" s="75">
        <f>SUM(C4:N4)</f>
        <v>0</v>
      </c>
      <c r="S4" s="78" t="s">
        <v>54</v>
      </c>
      <c r="T4" s="78" t="s">
        <v>21</v>
      </c>
    </row>
    <row r="5" spans="1:20" ht="15.75" thickBot="1">
      <c r="B5" s="65" t="s">
        <v>22</v>
      </c>
      <c r="C5" s="65">
        <f>COUNTIF(Master!$B$4:$AG$7,'On call stat'!$B5)</f>
        <v>14</v>
      </c>
      <c r="D5" s="65">
        <f>COUNTIF(Master!$B$14:$AC$16,'On call stat'!$B5)</f>
        <v>9</v>
      </c>
      <c r="E5" s="65">
        <f>COUNTIF(Master!$B$23:$AF$25,'On call stat'!$B5)</f>
        <v>21</v>
      </c>
      <c r="F5" s="65">
        <f>COUNTIF(Master!$B$32:$AE$34,'On call stat'!$B5)</f>
        <v>17</v>
      </c>
      <c r="G5" s="65">
        <f>COUNTIF(Master!$B$41:$AF$43,'On call stat'!$B5)</f>
        <v>13</v>
      </c>
      <c r="H5" s="65">
        <f>COUNTIF(Master!$B$50:$AE$52,'On call stat'!$B5)</f>
        <v>14</v>
      </c>
      <c r="I5" s="65">
        <f>COUNTIF(Master!$B$59:$AF$61,'On call stat'!$B5)</f>
        <v>14</v>
      </c>
      <c r="J5" s="65">
        <f>COUNTIF(Master!$B$68:$AF$70,'On call stat'!$B5)</f>
        <v>15</v>
      </c>
      <c r="K5" s="65">
        <f>COUNTIF(Master!$B$77:$AE$79,'On call stat'!$B5)</f>
        <v>16</v>
      </c>
      <c r="L5" s="65">
        <f>COUNTIF(Master!$B$86:$AF$88,'On call stat'!$B5)</f>
        <v>18</v>
      </c>
      <c r="M5" s="65">
        <f>COUNTIF(Master!$B$95:$AE$97,'On call stat'!$B5)</f>
        <v>16</v>
      </c>
      <c r="N5" s="66">
        <f>COUNTIF(Master!$B$104:$AF$106,'On call stat'!$B5)</f>
        <v>17</v>
      </c>
      <c r="O5" s="75">
        <f t="shared" ref="O5:O12" si="0">SUM(C5:N5)</f>
        <v>184</v>
      </c>
      <c r="S5" s="78" t="s">
        <v>59</v>
      </c>
      <c r="T5" s="78" t="s">
        <v>22</v>
      </c>
    </row>
    <row r="6" spans="1:20" ht="15.75" thickBot="1">
      <c r="B6" s="65" t="s">
        <v>23</v>
      </c>
      <c r="C6" s="65">
        <f>COUNTIF(Master!$B$4:$AG$7,'On call stat'!$B6)</f>
        <v>18</v>
      </c>
      <c r="D6" s="65">
        <f>COUNTIF(Master!$B$14:$AC$16,'On call stat'!$B6)</f>
        <v>13</v>
      </c>
      <c r="E6" s="65">
        <f>COUNTIF(Master!$B$23:$AF$25,'On call stat'!$B6)</f>
        <v>10</v>
      </c>
      <c r="F6" s="65">
        <f>COUNTIF(Master!$B$32:$AE$34,'On call stat'!$B6)</f>
        <v>19</v>
      </c>
      <c r="G6" s="65">
        <f>COUNTIF(Master!$B$41:$AF$43,'On call stat'!$B6)</f>
        <v>14</v>
      </c>
      <c r="H6" s="65">
        <f>COUNTIF(Master!$B$50:$AE$52,'On call stat'!$B6)</f>
        <v>23</v>
      </c>
      <c r="I6" s="65">
        <f>COUNTIF(Master!$B$59:$AF$61,'On call stat'!$B6)</f>
        <v>12</v>
      </c>
      <c r="J6" s="65">
        <f>COUNTIF(Master!$B$68:$AF$70,'On call stat'!$B6)</f>
        <v>15</v>
      </c>
      <c r="K6" s="65">
        <f>COUNTIF(Master!$B$77:$AE$79,'On call stat'!$B6)</f>
        <v>13</v>
      </c>
      <c r="L6" s="65">
        <f>COUNTIF(Master!$B$86:$AF$88,'On call stat'!$B6)</f>
        <v>13</v>
      </c>
      <c r="M6" s="65">
        <f>COUNTIF(Master!$B$95:$AE$97,'On call stat'!$B6)</f>
        <v>15</v>
      </c>
      <c r="N6" s="66">
        <f>COUNTIF(Master!$B$104:$AF$106,'On call stat'!$B6)</f>
        <v>13</v>
      </c>
      <c r="O6" s="75">
        <f t="shared" si="0"/>
        <v>178</v>
      </c>
      <c r="S6" s="78" t="s">
        <v>60</v>
      </c>
      <c r="T6" s="78" t="s">
        <v>23</v>
      </c>
    </row>
    <row r="7" spans="1:20" ht="15.75" thickBot="1">
      <c r="B7" s="65" t="s">
        <v>24</v>
      </c>
      <c r="C7" s="65">
        <f>COUNTIF(Master!$B$4:$AG$7,'On call stat'!$B7)</f>
        <v>13</v>
      </c>
      <c r="D7" s="65">
        <f>COUNTIF(Master!$B$14:$AC$16,'On call stat'!$B7)</f>
        <v>18</v>
      </c>
      <c r="E7" s="65">
        <f>COUNTIF(Master!$B$23:$AF$25,'On call stat'!$B7)</f>
        <v>11</v>
      </c>
      <c r="F7" s="65">
        <f>COUNTIF(Master!$B$32:$AE$34,'On call stat'!$B7)</f>
        <v>17</v>
      </c>
      <c r="G7" s="65">
        <f>COUNTIF(Master!$B$41:$AF$43,'On call stat'!$B7)</f>
        <v>18</v>
      </c>
      <c r="H7" s="65">
        <f>COUNTIF(Master!$B$50:$AE$52,'On call stat'!$B7)</f>
        <v>9</v>
      </c>
      <c r="I7" s="65">
        <f>COUNTIF(Master!$B$59:$AF$61,'On call stat'!$B7)</f>
        <v>17</v>
      </c>
      <c r="J7" s="65">
        <f>COUNTIF(Master!$B$68:$AF$70,'On call stat'!$B7)</f>
        <v>16</v>
      </c>
      <c r="K7" s="65">
        <f>COUNTIF(Master!$B$77:$AE$79,'On call stat'!$B7)</f>
        <v>14</v>
      </c>
      <c r="L7" s="65">
        <f>COUNTIF(Master!$B$86:$AF$88,'On call stat'!$B7)</f>
        <v>13</v>
      </c>
      <c r="M7" s="65">
        <f>COUNTIF(Master!$B$95:$AE$97,'On call stat'!$B7)</f>
        <v>21</v>
      </c>
      <c r="N7" s="66">
        <f>COUNTIF(Master!$B$104:$AF$106,'On call stat'!$B7)</f>
        <v>18</v>
      </c>
      <c r="O7" s="75">
        <f t="shared" si="0"/>
        <v>185</v>
      </c>
      <c r="S7" s="78" t="s">
        <v>58</v>
      </c>
      <c r="T7" s="78" t="s">
        <v>24</v>
      </c>
    </row>
    <row r="8" spans="1:20" ht="15.75" thickBot="1">
      <c r="B8" s="65" t="s">
        <v>25</v>
      </c>
      <c r="C8" s="65">
        <f>COUNTIF(Master!$B$4:$AG$7,'On call stat'!$B8)</f>
        <v>15</v>
      </c>
      <c r="D8" s="65">
        <f>COUNTIF(Master!$B$14:$AC$16,'On call stat'!$B8)</f>
        <v>15</v>
      </c>
      <c r="E8" s="65">
        <f>COUNTIF(Master!$B$23:$AF$25,'On call stat'!$B8)</f>
        <v>20</v>
      </c>
      <c r="F8" s="65">
        <f>COUNTIF(Master!$B$32:$AE$34,'On call stat'!$B8)</f>
        <v>12</v>
      </c>
      <c r="G8" s="65">
        <f>COUNTIF(Master!$B$41:$AF$43,'On call stat'!$B8)</f>
        <v>15</v>
      </c>
      <c r="H8" s="65">
        <f>COUNTIF(Master!$B$50:$AE$52,'On call stat'!$B8)</f>
        <v>14</v>
      </c>
      <c r="I8" s="65">
        <f>COUNTIF(Master!$B$59:$AF$61,'On call stat'!$B8)</f>
        <v>17</v>
      </c>
      <c r="J8" s="65">
        <f>COUNTIF(Master!$B$68:$AF$70,'On call stat'!$B8)</f>
        <v>16</v>
      </c>
      <c r="K8" s="65">
        <f>COUNTIF(Master!$B$77:$AE$79,'On call stat'!$B8)</f>
        <v>19</v>
      </c>
      <c r="L8" s="65">
        <f>COUNTIF(Master!$B$86:$AF$88,'On call stat'!$B8)</f>
        <v>10</v>
      </c>
      <c r="M8" s="65">
        <f>COUNTIF(Master!$B$95:$AE$97,'On call stat'!$B8)</f>
        <v>15</v>
      </c>
      <c r="N8" s="66">
        <f>COUNTIF(Master!$B$104:$AF$106,'On call stat'!$B8)</f>
        <v>18</v>
      </c>
      <c r="O8" s="75">
        <f t="shared" si="0"/>
        <v>186</v>
      </c>
      <c r="S8" s="78" t="s">
        <v>61</v>
      </c>
      <c r="T8" s="78" t="s">
        <v>25</v>
      </c>
    </row>
    <row r="9" spans="1:20" ht="15.75" thickBot="1">
      <c r="B9" s="65" t="s">
        <v>26</v>
      </c>
      <c r="C9" s="65">
        <f>COUNTIF(Master!$B$4:$AG$7,'On call stat'!$B9)</f>
        <v>12</v>
      </c>
      <c r="D9" s="65">
        <f>COUNTIF(Master!$B$14:$AC$16,'On call stat'!$B9)</f>
        <v>19</v>
      </c>
      <c r="E9" s="65">
        <f>COUNTIF(Master!$B$23:$AF$25,'On call stat'!$B9)</f>
        <v>15</v>
      </c>
      <c r="F9" s="65">
        <f>COUNTIF(Master!$B$32:$AE$34,'On call stat'!$B9)</f>
        <v>7</v>
      </c>
      <c r="G9" s="65">
        <f>COUNTIF(Master!$B$41:$AF$43,'On call stat'!$B9)</f>
        <v>20</v>
      </c>
      <c r="H9" s="65">
        <f>COUNTIF(Master!$B$50:$AE$52,'On call stat'!$B9)</f>
        <v>16</v>
      </c>
      <c r="I9" s="65">
        <f>COUNTIF(Master!$B$59:$AF$61,'On call stat'!$B9)</f>
        <v>19</v>
      </c>
      <c r="J9" s="65">
        <f>COUNTIF(Master!$B$68:$AF$70,'On call stat'!$B9)</f>
        <v>16</v>
      </c>
      <c r="K9" s="65">
        <f>COUNTIF(Master!$B$77:$AE$79,'On call stat'!$B9)</f>
        <v>8</v>
      </c>
      <c r="L9" s="65">
        <f>COUNTIF(Master!$B$86:$AF$88,'On call stat'!$B9)</f>
        <v>18</v>
      </c>
      <c r="M9" s="65">
        <f>COUNTIF(Master!$B$95:$AE$97,'On call stat'!$B9)</f>
        <v>15</v>
      </c>
      <c r="N9" s="66">
        <f>COUNTIF(Master!$B$104:$AF$106,'On call stat'!$B9)</f>
        <v>13</v>
      </c>
      <c r="O9" s="75">
        <f t="shared" si="0"/>
        <v>178</v>
      </c>
      <c r="S9" s="78" t="s">
        <v>62</v>
      </c>
      <c r="T9" s="78" t="s">
        <v>26</v>
      </c>
    </row>
    <row r="10" spans="1:20" ht="15.75" thickBot="1">
      <c r="B10" s="65" t="s">
        <v>27</v>
      </c>
      <c r="C10" s="65">
        <f>COUNTIF(Master!$B$4:$AG$7,'On call stat'!$B10)</f>
        <v>21</v>
      </c>
      <c r="D10" s="65">
        <f>COUNTIF(Master!$B$14:$AC$16,'On call stat'!$B10)</f>
        <v>10</v>
      </c>
      <c r="E10" s="65">
        <f>COUNTIF(Master!$B$23:$AF$25,'On call stat'!$B10)</f>
        <v>16</v>
      </c>
      <c r="F10" s="65">
        <f>COUNTIF(Master!$B$32:$AE$34,'On call stat'!$B10)</f>
        <v>18</v>
      </c>
      <c r="G10" s="65">
        <f>COUNTIF(Master!$B$41:$AF$43,'On call stat'!$B10)</f>
        <v>13</v>
      </c>
      <c r="H10" s="65">
        <f>COUNTIF(Master!$B$50:$AE$52,'On call stat'!$B10)</f>
        <v>14</v>
      </c>
      <c r="I10" s="65">
        <f>COUNTIF(Master!$B$59:$AF$61,'On call stat'!$B10)</f>
        <v>14</v>
      </c>
      <c r="J10" s="65">
        <f>COUNTIF(Master!$B$68:$AF$70,'On call stat'!$B10)</f>
        <v>15</v>
      </c>
      <c r="K10" s="65">
        <f>COUNTIF(Master!$B$77:$AE$79,'On call stat'!$B10)</f>
        <v>20</v>
      </c>
      <c r="L10" s="65">
        <f>COUNTIF(Master!$B$86:$AF$88,'On call stat'!$B10)</f>
        <v>21</v>
      </c>
      <c r="M10" s="65">
        <f>COUNTIF(Master!$B$95:$AE$97,'On call stat'!$B10)</f>
        <v>8</v>
      </c>
      <c r="N10" s="66">
        <f>COUNTIF(Master!$B$104:$AF$106,'On call stat'!$B10)</f>
        <v>14</v>
      </c>
      <c r="O10" s="75">
        <f t="shared" si="0"/>
        <v>184</v>
      </c>
      <c r="S10" s="78" t="s">
        <v>117</v>
      </c>
      <c r="T10" s="78" t="s">
        <v>27</v>
      </c>
    </row>
    <row r="11" spans="1:20" ht="15.75" thickBot="1">
      <c r="B11" s="65"/>
      <c r="C11" s="65">
        <f>COUNTIF(Master!$B$5:$AF$7,'On call stat'!B11)</f>
        <v>0</v>
      </c>
      <c r="D11" s="65">
        <f>COUNTIF(Master!$B$14:$AC$16,'On call stat'!C11)</f>
        <v>0</v>
      </c>
      <c r="E11" s="65">
        <f>COUNTIF(Master!$B$23:$AF$25,'On call stat'!$B11)</f>
        <v>0</v>
      </c>
      <c r="F11" s="65">
        <f>COUNTIF(Master!$B$32:$AE$34,'On call stat'!$B11)</f>
        <v>0</v>
      </c>
      <c r="G11" s="65">
        <f>COUNTIF(Master!$B$41:$AF$43,'On call stat'!$B11)</f>
        <v>0</v>
      </c>
      <c r="H11" s="65">
        <f>COUNTIF(Master!$B$50:$AE$52,'On call stat'!$B11)</f>
        <v>0</v>
      </c>
      <c r="I11" s="65">
        <f>COUNTIF(Master!$B$59:$AF$61,'On call stat'!$B11)</f>
        <v>0</v>
      </c>
      <c r="J11" s="65">
        <f>COUNTIF(Master!$B$68:$AF$70,'On call stat'!$B11)</f>
        <v>0</v>
      </c>
      <c r="K11" s="65">
        <f>COUNTIF(Master!$B$77:$AE$79,'On call stat'!$B11)</f>
        <v>0</v>
      </c>
      <c r="L11" s="65">
        <f>COUNTIF(Master!$B$86:$AF$88,'On call stat'!$B11)</f>
        <v>0</v>
      </c>
      <c r="M11" s="65">
        <f>COUNTIF(Master!$B$95:$AE$97,'On call stat'!$B11)</f>
        <v>0</v>
      </c>
      <c r="N11" s="66">
        <f>COUNTIF(Master!$B$104:$AF$106,'On call stat'!$B11)</f>
        <v>0</v>
      </c>
      <c r="O11" s="75">
        <f t="shared" si="0"/>
        <v>0</v>
      </c>
      <c r="S11" s="78" t="s">
        <v>56</v>
      </c>
      <c r="T11" s="78" t="s">
        <v>119</v>
      </c>
    </row>
    <row r="12" spans="1:20" ht="15.75" thickBot="1">
      <c r="B12" s="65"/>
      <c r="C12" s="65">
        <f>COUNTIF(Master!$B$5:$AF$7,'On call stat'!B12)</f>
        <v>0</v>
      </c>
      <c r="D12" s="65">
        <f>COUNTIF(Master!$B$14:$AC$16,'On call stat'!C12)</f>
        <v>0</v>
      </c>
      <c r="E12" s="65">
        <f>COUNTIF(Master!$B$23:$AF$25,'On call stat'!$B12)</f>
        <v>0</v>
      </c>
      <c r="F12" s="65">
        <f>COUNTIF(Master!$B$32:$AE$34,'On call stat'!$B12)</f>
        <v>0</v>
      </c>
      <c r="G12" s="65">
        <f>COUNTIF(Master!$B$41:$AF$43,'On call stat'!$B12)</f>
        <v>0</v>
      </c>
      <c r="H12" s="65">
        <f>COUNTIF(Master!$B$50:$AE$52,'On call stat'!$B12)</f>
        <v>0</v>
      </c>
      <c r="I12" s="65">
        <f>COUNTIF(Master!$B$59:$AF$61,'On call stat'!$B12)</f>
        <v>0</v>
      </c>
      <c r="J12" s="65">
        <f>COUNTIF(Master!$B$68:$AF$70,'On call stat'!$B12)</f>
        <v>0</v>
      </c>
      <c r="K12" s="65">
        <f>COUNTIF(Master!$B$77:$AE$79,'On call stat'!$B12)</f>
        <v>0</v>
      </c>
      <c r="L12" s="65">
        <f>COUNTIF(Master!$B$86:$AF$88,'On call stat'!$B12)</f>
        <v>0</v>
      </c>
      <c r="M12" s="65">
        <f>COUNTIF(Master!$B$95:$AE$97,'On call stat'!$B12)</f>
        <v>0</v>
      </c>
      <c r="N12" s="66">
        <f>COUNTIF(Master!$B$104:$AF$106,'On call stat'!$B12)</f>
        <v>0</v>
      </c>
      <c r="O12" s="75">
        <f t="shared" si="0"/>
        <v>0</v>
      </c>
      <c r="S12" s="78" t="s">
        <v>64</v>
      </c>
      <c r="T12" s="78" t="s">
        <v>120</v>
      </c>
    </row>
    <row r="13" spans="1:20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S13" s="78" t="s">
        <v>66</v>
      </c>
      <c r="T13" s="78" t="s">
        <v>121</v>
      </c>
    </row>
    <row r="14" spans="1:20"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S14" s="78" t="s">
        <v>71</v>
      </c>
      <c r="T14" s="78" t="s">
        <v>71</v>
      </c>
    </row>
    <row r="15" spans="1:20" ht="30.75" thickBot="1">
      <c r="A15" s="3" t="s">
        <v>41</v>
      </c>
      <c r="B15" s="74"/>
      <c r="C15" s="70" t="s">
        <v>28</v>
      </c>
      <c r="D15" s="70" t="s">
        <v>29</v>
      </c>
      <c r="E15" s="70" t="s">
        <v>30</v>
      </c>
      <c r="F15" s="70" t="s">
        <v>31</v>
      </c>
      <c r="G15" s="70" t="s">
        <v>32</v>
      </c>
      <c r="H15" s="70" t="s">
        <v>33</v>
      </c>
      <c r="I15" s="70" t="s">
        <v>34</v>
      </c>
      <c r="J15" s="70" t="s">
        <v>35</v>
      </c>
      <c r="K15" s="70" t="s">
        <v>36</v>
      </c>
      <c r="L15" s="70" t="s">
        <v>37</v>
      </c>
      <c r="M15" s="70" t="s">
        <v>38</v>
      </c>
      <c r="N15" s="70" t="s">
        <v>39</v>
      </c>
      <c r="O15" s="74" t="s">
        <v>40</v>
      </c>
      <c r="S15" s="78"/>
      <c r="T15" s="78"/>
    </row>
    <row r="16" spans="1:20" ht="15.75" thickBot="1">
      <c r="B16" s="65" t="s">
        <v>21</v>
      </c>
      <c r="C16" s="65" cm="1">
        <f t="array" ref="C16">SUMPRODUCT((Master!$B$5:$AG$7= $B16)*(WEEKDAY(Master!$B$3:$AG$3,2)=7))</f>
        <v>0</v>
      </c>
      <c r="D16" s="65" cm="1">
        <f t="array" ref="D16">SUMPRODUCT((Master!$B$14:$AC$16= $B16)*(WEEKDAY(Master!$B$12:$AC$12,2)=7))</f>
        <v>0</v>
      </c>
      <c r="E16" s="65" cm="1">
        <f t="array" ref="E16">SUMPRODUCT((Master!$B$23:$AF$25= $B16)*(WEEKDAY(Master!$B$21:$AF$21,2)=7))</f>
        <v>0</v>
      </c>
      <c r="F16" s="65" cm="1">
        <f t="array" ref="F16">SUMPRODUCT((Master!$B$32:$AE$34= $B16)*(WEEKDAY(Master!$B$30:$AE$30,2)=7))</f>
        <v>0</v>
      </c>
      <c r="G16" s="65" cm="1">
        <f t="array" ref="G16">SUMPRODUCT((Master!$B$41:$AF$43= $B16)*(WEEKDAY(Master!$B$39:$AF$39,2)=7))</f>
        <v>0</v>
      </c>
      <c r="H16" s="65" cm="1">
        <f t="array" ref="H16">SUMPRODUCT((Master!$B$50:$AE$52= $B16)*(WEEKDAY(Master!$B$48:$AE$48,2)=7))</f>
        <v>0</v>
      </c>
      <c r="I16" s="65" cm="1">
        <f t="array" ref="I16">SUMPRODUCT((Master!$B$59:$AF$61= $B16)*(WEEKDAY(Master!$B$57:$AF$57,2)=7))</f>
        <v>0</v>
      </c>
      <c r="J16" s="65" cm="1">
        <f t="array" ref="J16">SUMPRODUCT((Master!$B$68:$AF$70= $B16)*(WEEKDAY(Master!$B$66:$AF$66,2)=7))</f>
        <v>0</v>
      </c>
      <c r="K16" s="65" cm="1">
        <f t="array" ref="K16">SUMPRODUCT((Master!$B$77:$AE$79= $B16)*(WEEKDAY(Master!$B$75:$AE$75,2)=7))</f>
        <v>0</v>
      </c>
      <c r="L16" s="65" cm="1">
        <f t="array" ref="L16">SUMPRODUCT((Master!$B$86:$AF$88= $B16)*(WEEKDAY(Master!$B$84:$AF$84,2)=7))</f>
        <v>0</v>
      </c>
      <c r="M16" s="65" cm="1">
        <f t="array" ref="M16">SUMPRODUCT((Master!$B$95:$AE$97= $B16)*(WEEKDAY(Master!$B$93:$AE$93,2)=7))</f>
        <v>0</v>
      </c>
      <c r="N16" s="65" cm="1">
        <f t="array" ref="N16">SUMPRODUCT((Master!$B$104:$AF$106= $B16)*(WEEKDAY(Master!$B$102:$AF$102,2)=7))</f>
        <v>0</v>
      </c>
      <c r="O16" s="75">
        <f>SUM(C16:N16)</f>
        <v>0</v>
      </c>
      <c r="S16" s="78"/>
      <c r="T16" s="78"/>
    </row>
    <row r="17" spans="1:20" ht="15.75" thickBot="1">
      <c r="B17" s="65" t="s">
        <v>22</v>
      </c>
      <c r="C17" s="65" cm="1">
        <f t="array" ref="C17">SUMPRODUCT((Master!$B$5:$AG$7= $B17)*(WEEKDAY(Master!$B$3:$AG$3,2)=7))</f>
        <v>2</v>
      </c>
      <c r="D17" s="65" cm="1">
        <f t="array" ref="D17">SUMPRODUCT((Master!$B$14:$AC$16= $B17)*(WEEKDAY(Master!$B$12:$AC$12,2)=7))</f>
        <v>1</v>
      </c>
      <c r="E17" s="65" cm="1">
        <f t="array" ref="E17">SUMPRODUCT((Master!$B$23:$AF$25= $B17)*(WEEKDAY(Master!$B$21:$AF$21,2)=7))</f>
        <v>3</v>
      </c>
      <c r="F17" s="65" cm="1">
        <f t="array" ref="F17">SUMPRODUCT((Master!$B$32:$AE$34= $B17)*(WEEKDAY(Master!$B$30:$AE$30,2)=7))</f>
        <v>2</v>
      </c>
      <c r="G17" s="65" cm="1">
        <f t="array" ref="G17">SUMPRODUCT((Master!$B$41:$AF$43= $B17)*(WEEKDAY(Master!$B$39:$AF$39,2)=7))</f>
        <v>3</v>
      </c>
      <c r="H17" s="65" cm="1">
        <f t="array" ref="H17">SUMPRODUCT((Master!$B$50:$AE$52= $B17)*(WEEKDAY(Master!$B$48:$AE$48,2)=7))</f>
        <v>2</v>
      </c>
      <c r="I17" s="65" cm="1">
        <f t="array" ref="I17">SUMPRODUCT((Master!$B$59:$AF$61= $B17)*(WEEKDAY(Master!$B$57:$AF$57,2)=7))</f>
        <v>2</v>
      </c>
      <c r="J17" s="65" cm="1">
        <f t="array" ref="J17">SUMPRODUCT((Master!$B$68:$AF$70= $B17)*(WEEKDAY(Master!$B$66:$AF$66,2)=7))</f>
        <v>2</v>
      </c>
      <c r="K17" s="65" cm="1">
        <f t="array" ref="K17">SUMPRODUCT((Master!$B$77:$AE$79= $B17)*(WEEKDAY(Master!$B$75:$AE$75,2)=7))</f>
        <v>2</v>
      </c>
      <c r="L17" s="65" cm="1">
        <f t="array" ref="L17">SUMPRODUCT((Master!$B$86:$AF$88= $B17)*(WEEKDAY(Master!$B$84:$AF$84,2)=7))</f>
        <v>2</v>
      </c>
      <c r="M17" s="65" cm="1">
        <f t="array" ref="M17">SUMPRODUCT((Master!$B$95:$AE$97= $B17)*(WEEKDAY(Master!$B$93:$AE$93,2)=7))</f>
        <v>3</v>
      </c>
      <c r="N17" s="65" cm="1">
        <f t="array" ref="N17">SUMPRODUCT((Master!$B$104:$AF$106= $B17)*(WEEKDAY(Master!$B$102:$AF$102,2)=7))</f>
        <v>2</v>
      </c>
      <c r="O17" s="75">
        <f t="shared" ref="O17:O22" si="1">SUM(C17:N17)</f>
        <v>26</v>
      </c>
      <c r="S17" s="78"/>
      <c r="T17" s="78"/>
    </row>
    <row r="18" spans="1:20" ht="15.75" thickBot="1">
      <c r="B18" s="65" t="s">
        <v>23</v>
      </c>
      <c r="C18" s="65" cm="1">
        <f t="array" ref="C18">SUMPRODUCT((Master!$B$5:$AG$7= $B18)*(WEEKDAY(Master!$B$3:$AG$3,2)=7))</f>
        <v>3</v>
      </c>
      <c r="D18" s="65" cm="1">
        <f t="array" ref="D18">SUMPRODUCT((Master!$B$14:$AC$16= $B18)*(WEEKDAY(Master!$B$12:$AC$12,2)=7))</f>
        <v>1</v>
      </c>
      <c r="E18" s="65" cm="1">
        <f t="array" ref="E18">SUMPRODUCT((Master!$B$23:$AF$25= $B18)*(WEEKDAY(Master!$B$21:$AF$21,2)=7))</f>
        <v>2</v>
      </c>
      <c r="F18" s="65" cm="1">
        <f t="array" ref="F18">SUMPRODUCT((Master!$B$32:$AE$34= $B18)*(WEEKDAY(Master!$B$30:$AE$30,2)=7))</f>
        <v>3</v>
      </c>
      <c r="G18" s="65" cm="1">
        <f t="array" ref="G18">SUMPRODUCT((Master!$B$41:$AF$43= $B18)*(WEEKDAY(Master!$B$39:$AF$39,2)=7))</f>
        <v>2</v>
      </c>
      <c r="H18" s="65" cm="1">
        <f t="array" ref="H18">SUMPRODUCT((Master!$B$50:$AE$52= $B18)*(WEEKDAY(Master!$B$48:$AE$48,2)=7))</f>
        <v>3</v>
      </c>
      <c r="I18" s="65" cm="1">
        <f t="array" ref="I18">SUMPRODUCT((Master!$B$59:$AF$61= $B18)*(WEEKDAY(Master!$B$57:$AF$57,2)=7))</f>
        <v>2</v>
      </c>
      <c r="J18" s="65" cm="1">
        <f t="array" ref="J18">SUMPRODUCT((Master!$B$68:$AF$70= $B18)*(WEEKDAY(Master!$B$66:$AF$66,2)=7))</f>
        <v>2</v>
      </c>
      <c r="K18" s="65" cm="1">
        <f t="array" ref="K18">SUMPRODUCT((Master!$B$77:$AE$79= $B18)*(WEEKDAY(Master!$B$75:$AE$75,2)=7))</f>
        <v>2</v>
      </c>
      <c r="L18" s="65" cm="1">
        <f t="array" ref="L18">SUMPRODUCT((Master!$B$86:$AF$88= $B18)*(WEEKDAY(Master!$B$84:$AF$84,2)=7))</f>
        <v>2</v>
      </c>
      <c r="M18" s="65" cm="1">
        <f t="array" ref="M18">SUMPRODUCT((Master!$B$95:$AE$97= $B18)*(WEEKDAY(Master!$B$93:$AE$93,2)=7))</f>
        <v>2</v>
      </c>
      <c r="N18" s="65" cm="1">
        <f t="array" ref="N18">SUMPRODUCT((Master!$B$104:$AF$106= $B18)*(WEEKDAY(Master!$B$102:$AF$102,2)=7))</f>
        <v>2</v>
      </c>
      <c r="O18" s="75">
        <f t="shared" si="1"/>
        <v>26</v>
      </c>
      <c r="S18" s="78"/>
      <c r="T18" s="78"/>
    </row>
    <row r="19" spans="1:20" ht="15.75" thickBot="1">
      <c r="B19" s="65" t="s">
        <v>24</v>
      </c>
      <c r="C19" s="65" cm="1">
        <f t="array" ref="C19">SUMPRODUCT((Master!$B$5:$AG$7= $B19)*(WEEKDAY(Master!$B$3:$AG$3,2)=7))</f>
        <v>1</v>
      </c>
      <c r="D19" s="65" cm="1">
        <f t="array" ref="D19">SUMPRODUCT((Master!$B$14:$AC$16= $B19)*(WEEKDAY(Master!$B$12:$AC$12,2)=7))</f>
        <v>3</v>
      </c>
      <c r="E19" s="65" cm="1">
        <f t="array" ref="E19">SUMPRODUCT((Master!$B$23:$AF$25= $B19)*(WEEKDAY(Master!$B$21:$AF$21,2)=7))</f>
        <v>2</v>
      </c>
      <c r="F19" s="65" cm="1">
        <f t="array" ref="F19">SUMPRODUCT((Master!$B$32:$AE$34= $B19)*(WEEKDAY(Master!$B$30:$AE$30,2)=7))</f>
        <v>3</v>
      </c>
      <c r="G19" s="65" cm="1">
        <f t="array" ref="G19">SUMPRODUCT((Master!$B$41:$AF$43= $B19)*(WEEKDAY(Master!$B$39:$AF$39,2)=7))</f>
        <v>2</v>
      </c>
      <c r="H19" s="65" cm="1">
        <f t="array" ref="H19">SUMPRODUCT((Master!$B$50:$AE$52= $B19)*(WEEKDAY(Master!$B$48:$AE$48,2)=7))</f>
        <v>1</v>
      </c>
      <c r="I19" s="65" cm="1">
        <f t="array" ref="I19">SUMPRODUCT((Master!$B$59:$AF$61= $B19)*(WEEKDAY(Master!$B$57:$AF$57,2)=7))</f>
        <v>2</v>
      </c>
      <c r="J19" s="65" cm="1">
        <f t="array" ref="J19">SUMPRODUCT((Master!$B$68:$AF$70= $B19)*(WEEKDAY(Master!$B$66:$AF$66,2)=7))</f>
        <v>3</v>
      </c>
      <c r="K19" s="65" cm="1">
        <f t="array" ref="K19">SUMPRODUCT((Master!$B$77:$AE$79= $B19)*(WEEKDAY(Master!$B$75:$AE$75,2)=7))</f>
        <v>2</v>
      </c>
      <c r="L19" s="65" cm="1">
        <f t="array" ref="L19">SUMPRODUCT((Master!$B$86:$AF$88= $B19)*(WEEKDAY(Master!$B$84:$AF$84,2)=7))</f>
        <v>2</v>
      </c>
      <c r="M19" s="65" cm="1">
        <f t="array" ref="M19">SUMPRODUCT((Master!$B$95:$AE$97= $B19)*(WEEKDAY(Master!$B$93:$AE$93,2)=7))</f>
        <v>3</v>
      </c>
      <c r="N19" s="65" cm="1">
        <f t="array" ref="N19">SUMPRODUCT((Master!$B$104:$AF$106= $B19)*(WEEKDAY(Master!$B$102:$AF$102,2)=7))</f>
        <v>2</v>
      </c>
      <c r="O19" s="75">
        <f t="shared" si="1"/>
        <v>26</v>
      </c>
      <c r="S19" s="78"/>
      <c r="T19" s="78"/>
    </row>
    <row r="20" spans="1:20" ht="15.75" thickBot="1">
      <c r="B20" s="65" t="s">
        <v>25</v>
      </c>
      <c r="C20" s="65" cm="1">
        <f t="array" ref="C20">SUMPRODUCT((Master!$B$5:$AG$7= $B20)*(WEEKDAY(Master!$B$3:$AG$3,2)=7))</f>
        <v>2</v>
      </c>
      <c r="D20" s="65" cm="1">
        <f t="array" ref="D20">SUMPRODUCT((Master!$B$14:$AC$16= $B20)*(WEEKDAY(Master!$B$12:$AC$12,2)=7))</f>
        <v>3</v>
      </c>
      <c r="E20" s="65" cm="1">
        <f t="array" ref="E20">SUMPRODUCT((Master!$B$23:$AF$25= $B20)*(WEEKDAY(Master!$B$21:$AF$21,2)=7))</f>
        <v>2</v>
      </c>
      <c r="F20" s="65" cm="1">
        <f t="array" ref="F20">SUMPRODUCT((Master!$B$32:$AE$34= $B20)*(WEEKDAY(Master!$B$30:$AE$30,2)=7))</f>
        <v>1</v>
      </c>
      <c r="G20" s="65" cm="1">
        <f t="array" ref="G20">SUMPRODUCT((Master!$B$41:$AF$43= $B20)*(WEEKDAY(Master!$B$39:$AF$39,2)=7))</f>
        <v>3</v>
      </c>
      <c r="H20" s="65" cm="1">
        <f t="array" ref="H20">SUMPRODUCT((Master!$B$50:$AE$52= $B20)*(WEEKDAY(Master!$B$48:$AE$48,2)=7))</f>
        <v>1</v>
      </c>
      <c r="I20" s="65" cm="1">
        <f t="array" ref="I20">SUMPRODUCT((Master!$B$59:$AF$61= $B20)*(WEEKDAY(Master!$B$57:$AF$57,2)=7))</f>
        <v>2</v>
      </c>
      <c r="J20" s="65" cm="1">
        <f t="array" ref="J20">SUMPRODUCT((Master!$B$68:$AF$70= $B20)*(WEEKDAY(Master!$B$66:$AF$66,2)=7))</f>
        <v>3</v>
      </c>
      <c r="K20" s="65" cm="1">
        <f t="array" ref="K20">SUMPRODUCT((Master!$B$77:$AE$79= $B20)*(WEEKDAY(Master!$B$75:$AE$75,2)=7))</f>
        <v>3</v>
      </c>
      <c r="L20" s="65" cm="1">
        <f t="array" ref="L20">SUMPRODUCT((Master!$B$86:$AF$88= $B20)*(WEEKDAY(Master!$B$84:$AF$84,2)=7))</f>
        <v>1</v>
      </c>
      <c r="M20" s="65" cm="1">
        <f t="array" ref="M20">SUMPRODUCT((Master!$B$95:$AE$97= $B20)*(WEEKDAY(Master!$B$93:$AE$93,2)=7))</f>
        <v>3</v>
      </c>
      <c r="N20" s="65" cm="1">
        <f t="array" ref="N20">SUMPRODUCT((Master!$B$104:$AF$106= $B20)*(WEEKDAY(Master!$B$102:$AF$102,2)=7))</f>
        <v>2</v>
      </c>
      <c r="O20" s="75">
        <f t="shared" si="1"/>
        <v>26</v>
      </c>
      <c r="S20" s="78"/>
      <c r="T20" s="78"/>
    </row>
    <row r="21" spans="1:20" ht="15.75" thickBot="1">
      <c r="B21" s="65" t="s">
        <v>26</v>
      </c>
      <c r="C21" s="65" cm="1">
        <f t="array" ref="C21">SUMPRODUCT((Master!$B$5:$AG$7= $B21)*(WEEKDAY(Master!$B$3:$AG$3,2)=7))</f>
        <v>2</v>
      </c>
      <c r="D21" s="65" cm="1">
        <f t="array" ref="D21">SUMPRODUCT((Master!$B$14:$AC$16= $B21)*(WEEKDAY(Master!$B$12:$AC$12,2)=7))</f>
        <v>2</v>
      </c>
      <c r="E21" s="65" cm="1">
        <f t="array" ref="E21">SUMPRODUCT((Master!$B$23:$AF$25= $B21)*(WEEKDAY(Master!$B$21:$AF$21,2)=7))</f>
        <v>3</v>
      </c>
      <c r="F21" s="65" cm="1">
        <f t="array" ref="F21">SUMPRODUCT((Master!$B$32:$AE$34= $B21)*(WEEKDAY(Master!$B$30:$AE$30,2)=7))</f>
        <v>1</v>
      </c>
      <c r="G21" s="65" cm="1">
        <f t="array" ref="G21">SUMPRODUCT((Master!$B$41:$AF$43= $B21)*(WEEKDAY(Master!$B$39:$AF$39,2)=7))</f>
        <v>3</v>
      </c>
      <c r="H21" s="65" cm="1">
        <f t="array" ref="H21">SUMPRODUCT((Master!$B$50:$AE$52= $B21)*(WEEKDAY(Master!$B$48:$AE$48,2)=7))</f>
        <v>3</v>
      </c>
      <c r="I21" s="65" cm="1">
        <f t="array" ref="I21">SUMPRODUCT((Master!$B$59:$AF$61= $B21)*(WEEKDAY(Master!$B$57:$AF$57,2)=7))</f>
        <v>2</v>
      </c>
      <c r="J21" s="65" cm="1">
        <f t="array" ref="J21">SUMPRODUCT((Master!$B$68:$AF$70= $B21)*(WEEKDAY(Master!$B$66:$AF$66,2)=7))</f>
        <v>3</v>
      </c>
      <c r="K21" s="65" cm="1">
        <f t="array" ref="K21">SUMPRODUCT((Master!$B$77:$AE$79= $B21)*(WEEKDAY(Master!$B$75:$AE$75,2)=7))</f>
        <v>0</v>
      </c>
      <c r="L21" s="65" cm="1">
        <f t="array" ref="L21">SUMPRODUCT((Master!$B$86:$AF$88= $B21)*(WEEKDAY(Master!$B$84:$AF$84,2)=7))</f>
        <v>3</v>
      </c>
      <c r="M21" s="65" cm="1">
        <f t="array" ref="M21">SUMPRODUCT((Master!$B$95:$AE$97= $B21)*(WEEKDAY(Master!$B$93:$AE$93,2)=7))</f>
        <v>2</v>
      </c>
      <c r="N21" s="65" cm="1">
        <f t="array" ref="N21">SUMPRODUCT((Master!$B$104:$AF$106= $B21)*(WEEKDAY(Master!$B$102:$AF$102,2)=7))</f>
        <v>2</v>
      </c>
      <c r="O21" s="75">
        <f t="shared" si="1"/>
        <v>26</v>
      </c>
    </row>
    <row r="22" spans="1:20" ht="15.75" thickBot="1">
      <c r="B22" s="65" t="s">
        <v>27</v>
      </c>
      <c r="C22" s="65" cm="1">
        <f t="array" ref="C22">SUMPRODUCT((Master!$B$5:$AG$7= $B22)*(WEEKDAY(Master!$B$3:$AG$3,2)=7))</f>
        <v>2</v>
      </c>
      <c r="D22" s="65" cm="1">
        <f t="array" ref="D22">SUMPRODUCT((Master!$B$14:$AC$16= $B22)*(WEEKDAY(Master!$B$12:$AC$12,2)=7))</f>
        <v>2</v>
      </c>
      <c r="E22" s="65" cm="1">
        <f t="array" ref="E22">SUMPRODUCT((Master!$B$23:$AF$25= $B22)*(WEEKDAY(Master!$B$21:$AF$21,2)=7))</f>
        <v>3</v>
      </c>
      <c r="F22" s="65" cm="1">
        <f t="array" ref="F22">SUMPRODUCT((Master!$B$32:$AE$34= $B22)*(WEEKDAY(Master!$B$30:$AE$30,2)=7))</f>
        <v>2</v>
      </c>
      <c r="G22" s="65" cm="1">
        <f t="array" ref="G22">SUMPRODUCT((Master!$B$41:$AF$43= $B22)*(WEEKDAY(Master!$B$39:$AF$39,2)=7))</f>
        <v>2</v>
      </c>
      <c r="H22" s="65" cm="1">
        <f t="array" ref="H22">SUMPRODUCT((Master!$B$50:$AE$52= $B22)*(WEEKDAY(Master!$B$48:$AE$48,2)=7))</f>
        <v>2</v>
      </c>
      <c r="I22" s="65" cm="1">
        <f t="array" ref="I22">SUMPRODUCT((Master!$B$59:$AF$61= $B22)*(WEEKDAY(Master!$B$57:$AF$57,2)=7))</f>
        <v>2</v>
      </c>
      <c r="J22" s="65" cm="1">
        <f t="array" ref="J22">SUMPRODUCT((Master!$B$68:$AF$70= $B22)*(WEEKDAY(Master!$B$66:$AF$66,2)=7))</f>
        <v>2</v>
      </c>
      <c r="K22" s="65" cm="1">
        <f t="array" ref="K22">SUMPRODUCT((Master!$B$77:$AE$79= $B22)*(WEEKDAY(Master!$B$75:$AE$75,2)=7))</f>
        <v>3</v>
      </c>
      <c r="L22" s="65" cm="1">
        <f t="array" ref="L22">SUMPRODUCT((Master!$B$86:$AF$88= $B22)*(WEEKDAY(Master!$B$84:$AF$84,2)=7))</f>
        <v>2</v>
      </c>
      <c r="M22" s="65" cm="1">
        <f t="array" ref="M22">SUMPRODUCT((Master!$B$95:$AE$97= $B22)*(WEEKDAY(Master!$B$93:$AE$93,2)=7))</f>
        <v>2</v>
      </c>
      <c r="N22" s="65" cm="1">
        <f t="array" ref="N22">SUMPRODUCT((Master!$B$104:$AF$106= $B22)*(WEEKDAY(Master!$B$102:$AF$102,2)=7))</f>
        <v>2</v>
      </c>
      <c r="O22" s="75">
        <f t="shared" si="1"/>
        <v>26</v>
      </c>
    </row>
    <row r="23" spans="1:20" ht="15.75" thickBot="1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  <c r="O23" s="75"/>
    </row>
    <row r="24" spans="1:20" ht="15.75" thickBot="1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6"/>
      <c r="O24" s="75"/>
    </row>
    <row r="25" spans="1:20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spans="1:20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20" ht="30.75" thickBot="1">
      <c r="A27" t="s">
        <v>45</v>
      </c>
      <c r="B27" s="74"/>
      <c r="C27" s="70" t="s">
        <v>28</v>
      </c>
      <c r="D27" s="70" t="s">
        <v>29</v>
      </c>
      <c r="E27" s="70" t="s">
        <v>30</v>
      </c>
      <c r="F27" s="70" t="s">
        <v>31</v>
      </c>
      <c r="G27" s="70" t="s">
        <v>32</v>
      </c>
      <c r="H27" s="70" t="s">
        <v>33</v>
      </c>
      <c r="I27" s="70" t="s">
        <v>34</v>
      </c>
      <c r="J27" s="70" t="s">
        <v>35</v>
      </c>
      <c r="K27" s="70" t="s">
        <v>36</v>
      </c>
      <c r="L27" s="70" t="s">
        <v>37</v>
      </c>
      <c r="M27" s="70" t="s">
        <v>38</v>
      </c>
      <c r="N27" s="70" t="s">
        <v>39</v>
      </c>
      <c r="O27" s="74" t="s">
        <v>40</v>
      </c>
    </row>
    <row r="28" spans="1:20" ht="15.75" thickBot="1">
      <c r="B28" s="65" t="s">
        <v>21</v>
      </c>
      <c r="C28" s="65" cm="1">
        <f t="array" ref="C28">SUMPRODUCT( (Master!$B$5:$AF$7=$B28) * (COUNTIF(PH!$A$2:$A$99,Master!$B$3:$AF$3)&gt;0) )</f>
        <v>0</v>
      </c>
      <c r="D28" s="65" cm="1">
        <f t="array" ref="D28">SUMPRODUCT( (Master!$B$14:$AC$16=$B28) * (COUNTIF(PH!$A$2:$A$99,Master!$B$12:$AC$12)&gt;0) )</f>
        <v>0</v>
      </c>
      <c r="E28" s="65" cm="1">
        <f t="array" ref="E28">SUMPRODUCT( (Master!$B$23:$AF$25= $B28) * (COUNTIF(PH!$A$2:$A$99,Master!$B$21:$AF$21)&gt;0) )</f>
        <v>0</v>
      </c>
      <c r="F28" s="65" cm="1">
        <f t="array" ref="F28">SUMPRODUCT((Master!$B$32:$AE$34 =$B28)*(COUNTIF(PH!$A$2:$A$99,Master!$B$30:$AE$30)&gt;0) )</f>
        <v>0</v>
      </c>
      <c r="G28" s="65" cm="1">
        <f t="array" ref="G28">SUMPRODUCT( (Master!$B$41:$AF$43=$B28) * (COUNTIF(PH!$A$2:$A$99,Master!$B$39:$AF$39)&gt;0) )</f>
        <v>0</v>
      </c>
      <c r="H28" s="65" cm="1">
        <f t="array" ref="H28">SUMPRODUCT( (Master!$B$50:$AE$52=$B28) * (COUNTIF(PH!$A$2:$A$99,Master!$B$48:$AE$48)&gt;0) )</f>
        <v>0</v>
      </c>
      <c r="I28" s="65" cm="1">
        <f t="array" ref="I28">SUMPRODUCT( (Master!$B$59:$AF$61=$B28) * (COUNTIF(PH!$A$2:$A$99,Master!$B$57:$AF$57)&gt;0) )</f>
        <v>0</v>
      </c>
      <c r="J28" s="65" cm="1">
        <f t="array" ref="J28">SUMPRODUCT( (Master!$B$68:$AF$70=$B28) * (COUNTIF(PH!$A$2:$A$99,Master!$B$66:$AF$66)&gt;0) )</f>
        <v>0</v>
      </c>
      <c r="K28" s="65" cm="1">
        <f t="array" ref="K28">SUMPRODUCT( (Master!$B$77:$AE$79=$B28) * (COUNTIF(PH!$A$2:$A$99,Master!$B$75:$AE$75)&gt;0) )</f>
        <v>0</v>
      </c>
      <c r="L28" s="65" cm="1">
        <f t="array" ref="L28">SUMPRODUCT( (Master!$B$86:$AF$88=$B28) * (COUNTIF(PH!$A$2:$A$99,Master!$B$84:$AF$84)&gt;0) )</f>
        <v>0</v>
      </c>
      <c r="M28" s="65" cm="1">
        <f t="array" ref="M28">SUMPRODUCT( (Master!$B$95:$AE$97=$B28) * (COUNTIF(PH!$A$2:$A$99,Master!$B$93:$AE$93)&gt;0) )</f>
        <v>0</v>
      </c>
      <c r="N28" s="65" cm="1">
        <f t="array" ref="N28">SUMPRODUCT( (Master!$B$104:$AF$106=$B28) * (COUNTIF(PH!$A$2:$A$99,Master!$B$102:$AF$102)&gt;0) )</f>
        <v>0</v>
      </c>
      <c r="O28" s="75">
        <f>SUM(C28:N28)</f>
        <v>0</v>
      </c>
    </row>
    <row r="29" spans="1:20" ht="15.75" thickBot="1">
      <c r="B29" s="65" t="s">
        <v>22</v>
      </c>
      <c r="C29" s="65" cm="1">
        <f t="array" ref="C29">SUMPRODUCT( (Master!$B$5:$AF$7=$B29) * (COUNTIF(PH!$A$2:$A$99,Master!$B$3:$AF$3)&gt;0) )</f>
        <v>0</v>
      </c>
      <c r="D29" s="65" cm="1">
        <f t="array" ref="D29">SUMPRODUCT( (Master!$B$14:$AC$16=$B29) * (COUNTIF(PH!$A$2:$A$99,Master!$B$12:$AC$12)&gt;0) )</f>
        <v>1</v>
      </c>
      <c r="E29" s="65" cm="1">
        <f t="array" ref="E29">SUMPRODUCT( (Master!$B$23:$AF$25= $B29) * (COUNTIF(PH!$A$2:$A$18,Master!$B$21:$AF$21)&gt;0) )</f>
        <v>0</v>
      </c>
      <c r="F29" s="65" cm="1">
        <f t="array" ref="F29">SUMPRODUCT((Master!$B$32:$AE$34 =$B29)*(COUNTIF(PH!$A$2:$A$18,Master!$B$30:$AE$30)&gt;0) )</f>
        <v>2</v>
      </c>
      <c r="G29" s="65" cm="1">
        <f t="array" ref="G29">SUMPRODUCT( (Master!$B$41:$AF$43=$B29) * (COUNTIF(PH!$A$2:$A$18,Master!$B$39:$AF$39)&gt;0) )</f>
        <v>1</v>
      </c>
      <c r="H29" s="65" cm="1">
        <f t="array" ref="H29">SUMPRODUCT( (Master!$B$50:$AE$52=$B29) * (COUNTIF(PH!$A$2:$A$18,Master!$B$48:$AE$48)&gt;0) )</f>
        <v>1</v>
      </c>
      <c r="I29" s="65" cm="1">
        <f t="array" ref="I29">SUMPRODUCT( (Master!$B$59:$AF$61=$B29) * (COUNTIF(PH!$A$2:$A$18,Master!$B$57:$AF$57)&gt;0) )</f>
        <v>0</v>
      </c>
      <c r="J29" s="65" cm="1">
        <f t="array" ref="J29">SUMPRODUCT( (Master!$B$68:$AF$70=$B29) * (COUNTIF(PH!$A$2:$A$18,Master!$B$66:$AF$66)&gt;0) )</f>
        <v>0</v>
      </c>
      <c r="K29" s="65" cm="1">
        <f t="array" ref="K29">SUMPRODUCT( (Master!$B$77:$AE$79=$B29) * (COUNTIF(PH!$A$2:$A$18,Master!$B$75:$AE$75)&gt;0) )</f>
        <v>1</v>
      </c>
      <c r="L29" s="65" cm="1">
        <f t="array" ref="L29">SUMPRODUCT( (Master!$B$86:$AF$88=$B29) * (COUNTIF(PH!$A$2:$A$18,Master!$B$84:$AF$84)&gt;0) )</f>
        <v>2</v>
      </c>
      <c r="M29" s="65" cm="1">
        <f t="array" ref="M29">SUMPRODUCT( (Master!$B$95:$AE$97=$B29) * (COUNTIF(PH!$A$2:$A$18,Master!$B$93:$AE$93)&gt;0) )</f>
        <v>0</v>
      </c>
      <c r="N29" s="65" cm="1">
        <f t="array" ref="N29">SUMPRODUCT( (Master!$B$104:$AF$106=$B29) * (COUNTIF(PH!$A$2:$A$99,Master!$B$102:$AF$102)&gt;0) )</f>
        <v>0</v>
      </c>
      <c r="O29" s="75">
        <f t="shared" ref="O29:O34" si="2">SUM(C29:N29)</f>
        <v>8</v>
      </c>
    </row>
    <row r="30" spans="1:20" ht="15.75" thickBot="1">
      <c r="B30" s="65" t="s">
        <v>23</v>
      </c>
      <c r="C30" s="65" cm="1">
        <f t="array" ref="C30">SUMPRODUCT( (Master!$B$5:$AF$7=$B30) * (COUNTIF(PH!$A$2:$A$99,Master!$B$3:$AF$3)&gt;0) )</f>
        <v>1</v>
      </c>
      <c r="D30" s="65" cm="1">
        <f t="array" ref="D30">SUMPRODUCT( (Master!$B$14:$AC$16=$B30) * (COUNTIF(PH!$A$2:$A$99,Master!$B$12:$AC$12)&gt;0) )</f>
        <v>0</v>
      </c>
      <c r="E30" s="65" cm="1">
        <f t="array" ref="E30">SUMPRODUCT( (Master!$B$23:$AF$25= $B30) * (COUNTIF(PH!$A$2:$A$18,Master!$B$21:$AF$21)&gt;0) )</f>
        <v>0</v>
      </c>
      <c r="F30" s="65" cm="1">
        <f t="array" ref="F30">SUMPRODUCT((Master!$B$32:$AE$34 =$B30)*(COUNTIF(PH!$A$2:$A$18,Master!$B$30:$AE$30)&gt;0) )</f>
        <v>4</v>
      </c>
      <c r="G30" s="65" cm="1">
        <f t="array" ref="G30">SUMPRODUCT( (Master!$B$41:$AF$43=$B30) * (COUNTIF(PH!$A$2:$A$18,Master!$B$39:$AF$39)&gt;0) )</f>
        <v>1</v>
      </c>
      <c r="H30" s="65" cm="1">
        <f t="array" ref="H30">SUMPRODUCT( (Master!$B$50:$AE$52=$B30) * (COUNTIF(PH!$A$2:$A$18,Master!$B$48:$AE$48)&gt;0) )</f>
        <v>0</v>
      </c>
      <c r="I30" s="65" cm="1">
        <f t="array" ref="I30">SUMPRODUCT( (Master!$B$59:$AF$61=$B30) * (COUNTIF(PH!$A$2:$A$18,Master!$B$57:$AF$57)&gt;0) )</f>
        <v>1</v>
      </c>
      <c r="J30" s="65" cm="1">
        <f t="array" ref="J30">SUMPRODUCT( (Master!$B$68:$AF$70=$B30) * (COUNTIF(PH!$A$2:$A$18,Master!$B$66:$AF$66)&gt;0) )</f>
        <v>0</v>
      </c>
      <c r="K30" s="65" cm="1">
        <f t="array" ref="K30">SUMPRODUCT( (Master!$B$77:$AE$79=$B30) * (COUNTIF(PH!$A$2:$A$18,Master!$B$75:$AE$75)&gt;0) )</f>
        <v>0</v>
      </c>
      <c r="L30" s="65" cm="1">
        <f t="array" ref="L30">SUMPRODUCT( (Master!$B$86:$AF$88=$B30) * (COUNTIF(PH!$A$2:$A$18,Master!$B$84:$AF$84)&gt;0) )</f>
        <v>0</v>
      </c>
      <c r="M30" s="65" cm="1">
        <f t="array" ref="M30">SUMPRODUCT( (Master!$B$95:$AE$97=$B30) * (COUNTIF(PH!$A$2:$A$18,Master!$B$93:$AE$93)&gt;0) )</f>
        <v>0</v>
      </c>
      <c r="N30" s="65" cm="1">
        <f t="array" ref="N30">SUMPRODUCT( (Master!$B$104:$AF$106=$B30) * (COUNTIF(PH!$A$2:$A$99,Master!$B$102:$AF$102)&gt;0) )</f>
        <v>2</v>
      </c>
      <c r="O30" s="75">
        <f t="shared" si="2"/>
        <v>9</v>
      </c>
    </row>
    <row r="31" spans="1:20" ht="15.75" thickBot="1">
      <c r="B31" s="65" t="s">
        <v>24</v>
      </c>
      <c r="C31" s="65" cm="1">
        <f t="array" ref="C31">SUMPRODUCT( (Master!$B$5:$AF$7=$B31) * (COUNTIF(PH!$A$2:$A$99,Master!$B$3:$AF$3)&gt;0) )</f>
        <v>0</v>
      </c>
      <c r="D31" s="65" cm="1">
        <f t="array" ref="D31">SUMPRODUCT( (Master!$B$14:$AC$16=$B31) * (COUNTIF(PH!$A$2:$A$99,Master!$B$12:$AC$12)&gt;0) )</f>
        <v>2</v>
      </c>
      <c r="E31" s="65" cm="1">
        <f t="array" ref="E31">SUMPRODUCT( (Master!$B$23:$AF$25= $B31) * (COUNTIF(PH!$A$2:$A$18,Master!$B$21:$AF$21)&gt;0) )</f>
        <v>0</v>
      </c>
      <c r="F31" s="65" cm="1">
        <f t="array" ref="F31">SUMPRODUCT((Master!$B$32:$AE$34 =$B31)*(COUNTIF(PH!$A$2:$A$18,Master!$B$30:$AE$30)&gt;0) )</f>
        <v>2</v>
      </c>
      <c r="G31" s="65" cm="1">
        <f t="array" ref="G31">SUMPRODUCT( (Master!$B$41:$AF$43=$B31) * (COUNTIF(PH!$A$2:$A$18,Master!$B$39:$AF$39)&gt;0) )</f>
        <v>1</v>
      </c>
      <c r="H31" s="65" cm="1">
        <f t="array" ref="H31">SUMPRODUCT( (Master!$B$50:$AE$52=$B31) * (COUNTIF(PH!$A$2:$A$18,Master!$B$48:$AE$48)&gt;0) )</f>
        <v>0</v>
      </c>
      <c r="I31" s="65" cm="1">
        <f t="array" ref="I31">SUMPRODUCT( (Master!$B$59:$AF$61=$B31) * (COUNTIF(PH!$A$2:$A$18,Master!$B$57:$AF$57)&gt;0) )</f>
        <v>1</v>
      </c>
      <c r="J31" s="65" cm="1">
        <f t="array" ref="J31">SUMPRODUCT( (Master!$B$68:$AF$70=$B31) * (COUNTIF(PH!$A$2:$A$18,Master!$B$66:$AF$66)&gt;0) )</f>
        <v>0</v>
      </c>
      <c r="K31" s="65" cm="1">
        <f t="array" ref="K31">SUMPRODUCT( (Master!$B$77:$AE$79=$B31) * (COUNTIF(PH!$A$2:$A$18,Master!$B$75:$AE$75)&gt;0) )</f>
        <v>0</v>
      </c>
      <c r="L31" s="65" cm="1">
        <f t="array" ref="L31">SUMPRODUCT( (Master!$B$86:$AF$88=$B31) * (COUNTIF(PH!$A$2:$A$18,Master!$B$84:$AF$84)&gt;0) )</f>
        <v>0</v>
      </c>
      <c r="M31" s="65" cm="1">
        <f t="array" ref="M31">SUMPRODUCT( (Master!$B$95:$AE$97=$B31) * (COUNTIF(PH!$A$2:$A$18,Master!$B$93:$AE$93)&gt;0) )</f>
        <v>0</v>
      </c>
      <c r="N31" s="65" cm="1">
        <f t="array" ref="N31">SUMPRODUCT( (Master!$B$104:$AF$106=$B31) * (COUNTIF(PH!$A$2:$A$99,Master!$B$102:$AF$102)&gt;0) )</f>
        <v>2</v>
      </c>
      <c r="O31" s="75">
        <f t="shared" si="2"/>
        <v>8</v>
      </c>
    </row>
    <row r="32" spans="1:20" ht="15.75" thickBot="1">
      <c r="B32" s="65" t="s">
        <v>25</v>
      </c>
      <c r="C32" s="65" cm="1">
        <f t="array" ref="C32">SUMPRODUCT( (Master!$B$5:$AF$7=$B32) * (COUNTIF(PH!$A$2:$A$99,Master!$B$3:$AF$3)&gt;0) )</f>
        <v>0</v>
      </c>
      <c r="D32" s="65" cm="1">
        <f t="array" ref="D32">SUMPRODUCT( (Master!$B$14:$AC$16=$B32) * (COUNTIF(PH!$A$2:$A$99,Master!$B$12:$AC$12)&gt;0) )</f>
        <v>3</v>
      </c>
      <c r="E32" s="65" cm="1">
        <f t="array" ref="E32">SUMPRODUCT( (Master!$B$23:$AF$25= $B32) * (COUNTIF(PH!$A$2:$A$18,Master!$B$21:$AF$21)&gt;0) )</f>
        <v>0</v>
      </c>
      <c r="F32" s="65" cm="1">
        <f t="array" ref="F32">SUMPRODUCT((Master!$B$32:$AE$34 =$B32)*(COUNTIF(PH!$A$2:$A$18,Master!$B$30:$AE$30)&gt;0) )</f>
        <v>0</v>
      </c>
      <c r="G32" s="65" cm="1">
        <f t="array" ref="G32">SUMPRODUCT( (Master!$B$41:$AF$43=$B32) * (COUNTIF(PH!$A$2:$A$18,Master!$B$39:$AF$39)&gt;0) )</f>
        <v>1</v>
      </c>
      <c r="H32" s="65" cm="1">
        <f t="array" ref="H32">SUMPRODUCT( (Master!$B$50:$AE$52=$B32) * (COUNTIF(PH!$A$2:$A$18,Master!$B$48:$AE$48)&gt;0) )</f>
        <v>1</v>
      </c>
      <c r="I32" s="65" cm="1">
        <f t="array" ref="I32">SUMPRODUCT( (Master!$B$59:$AF$61=$B32) * (COUNTIF(PH!$A$2:$A$18,Master!$B$57:$AF$57)&gt;0) )</f>
        <v>1</v>
      </c>
      <c r="J32" s="65" cm="1">
        <f t="array" ref="J32">SUMPRODUCT( (Master!$B$68:$AF$70=$B32) * (COUNTIF(PH!$A$2:$A$18,Master!$B$66:$AF$66)&gt;0) )</f>
        <v>0</v>
      </c>
      <c r="K32" s="65" cm="1">
        <f t="array" ref="K32">SUMPRODUCT( (Master!$B$77:$AE$79=$B32) * (COUNTIF(PH!$A$2:$A$18,Master!$B$75:$AE$75)&gt;0) )</f>
        <v>1</v>
      </c>
      <c r="L32" s="65" cm="1">
        <f t="array" ref="L32">SUMPRODUCT( (Master!$B$86:$AF$88=$B32) * (COUNTIF(PH!$A$2:$A$18,Master!$B$84:$AF$84)&gt;0) )</f>
        <v>1</v>
      </c>
      <c r="M32" s="65" cm="1">
        <f t="array" ref="M32">SUMPRODUCT( (Master!$B$95:$AE$97=$B32) * (COUNTIF(PH!$A$2:$A$18,Master!$B$93:$AE$93)&gt;0) )</f>
        <v>0</v>
      </c>
      <c r="N32" s="65" cm="1">
        <f t="array" ref="N32">SUMPRODUCT( (Master!$B$104:$AF$106=$B32) * (COUNTIF(PH!$A$2:$A$99,Master!$B$102:$AF$102)&gt;0) )</f>
        <v>0</v>
      </c>
      <c r="O32" s="75">
        <f t="shared" si="2"/>
        <v>8</v>
      </c>
    </row>
    <row r="33" spans="1:15" ht="15.75" thickBot="1">
      <c r="B33" s="65" t="s">
        <v>26</v>
      </c>
      <c r="C33" s="65" cm="1">
        <f t="array" ref="C33">SUMPRODUCT( (Master!$B$5:$AF$7=$B33) * (COUNTIF(PH!$A$2:$A$99,Master!$B$3:$AF$3)&gt;0) )</f>
        <v>1</v>
      </c>
      <c r="D33" s="65" cm="1">
        <f t="array" ref="D33">SUMPRODUCT( (Master!$B$14:$AC$16=$B33) * (COUNTIF(PH!$A$2:$A$99,Master!$B$12:$AC$12)&gt;0) )</f>
        <v>3</v>
      </c>
      <c r="E33" s="65" cm="1">
        <f t="array" ref="E33">SUMPRODUCT( (Master!$B$23:$AF$25= $B33) * (COUNTIF(PH!$A$2:$A$18,Master!$B$21:$AF$21)&gt;0) )</f>
        <v>0</v>
      </c>
      <c r="F33" s="65" cm="1">
        <f t="array" ref="F33">SUMPRODUCT((Master!$B$32:$AE$34 =$B33)*(COUNTIF(PH!$A$2:$A$18,Master!$B$30:$AE$30)&gt;0) )</f>
        <v>0</v>
      </c>
      <c r="G33" s="65" cm="1">
        <f t="array" ref="G33">SUMPRODUCT( (Master!$B$41:$AF$43=$B33) * (COUNTIF(PH!$A$2:$A$18,Master!$B$39:$AF$39)&gt;0) )</f>
        <v>1</v>
      </c>
      <c r="H33" s="65" cm="1">
        <f t="array" ref="H33">SUMPRODUCT( (Master!$B$50:$AE$52=$B33) * (COUNTIF(PH!$A$2:$A$18,Master!$B$48:$AE$48)&gt;0) )</f>
        <v>0</v>
      </c>
      <c r="I33" s="65" cm="1">
        <f t="array" ref="I33">SUMPRODUCT( (Master!$B$59:$AF$61=$B33) * (COUNTIF(PH!$A$2:$A$18,Master!$B$57:$AF$57)&gt;0) )</f>
        <v>0</v>
      </c>
      <c r="J33" s="65" cm="1">
        <f t="array" ref="J33">SUMPRODUCT( (Master!$B$68:$AF$70=$B33) * (COUNTIF(PH!$A$2:$A$18,Master!$B$66:$AF$66)&gt;0) )</f>
        <v>0</v>
      </c>
      <c r="K33" s="65" cm="1">
        <f t="array" ref="K33">SUMPRODUCT( (Master!$B$77:$AE$79=$B33) * (COUNTIF(PH!$A$2:$A$18,Master!$B$75:$AE$75)&gt;0) )</f>
        <v>0</v>
      </c>
      <c r="L33" s="65" cm="1">
        <f t="array" ref="L33">SUMPRODUCT( (Master!$B$86:$AF$88=$B33) * (COUNTIF(PH!$A$2:$A$18,Master!$B$84:$AF$84)&gt;0) )</f>
        <v>2</v>
      </c>
      <c r="M33" s="65" cm="1">
        <f t="array" ref="M33">SUMPRODUCT( (Master!$B$95:$AE$97=$B33) * (COUNTIF(PH!$A$2:$A$18,Master!$B$93:$AE$93)&gt;0) )</f>
        <v>0</v>
      </c>
      <c r="N33" s="65" cm="1">
        <f t="array" ref="N33">SUMPRODUCT( (Master!$B$104:$AF$106=$B33) * (COUNTIF(PH!$A$2:$A$99,Master!$B$102:$AF$102)&gt;0) )</f>
        <v>2</v>
      </c>
      <c r="O33" s="75">
        <f t="shared" si="2"/>
        <v>9</v>
      </c>
    </row>
    <row r="34" spans="1:15" ht="15.75" thickBot="1">
      <c r="B34" s="65" t="s">
        <v>27</v>
      </c>
      <c r="C34" s="65" cm="1">
        <f t="array" ref="C34">SUMPRODUCT( (Master!$B$5:$AF$7=$B34) * (COUNTIF(PH!$A$2:$A$99,Master!$B$3:$AF$3)&gt;0) )</f>
        <v>1</v>
      </c>
      <c r="D34" s="65" cm="1">
        <f t="array" ref="D34">SUMPRODUCT( (Master!$B$14:$AC$16=$B34) * (COUNTIF(PH!$A$2:$A$99,Master!$B$12:$AC$12)&gt;0) )</f>
        <v>0</v>
      </c>
      <c r="E34" s="65" cm="1">
        <f t="array" ref="E34">SUMPRODUCT( (Master!$B$23:$AF$25= $B34) * (COUNTIF(PH!$A$2:$A$18,Master!$B$21:$AF$21)&gt;0) )</f>
        <v>0</v>
      </c>
      <c r="F34" s="65" cm="1">
        <f t="array" ref="F34">SUMPRODUCT((Master!$B$32:$AE$34 =$B34)*(COUNTIF(PH!$A$2:$A$18,Master!$B$30:$AE$30)&gt;0) )</f>
        <v>4</v>
      </c>
      <c r="G34" s="65" cm="1">
        <f t="array" ref="G34">SUMPRODUCT( (Master!$B$41:$AF$43=$B34) * (COUNTIF(PH!$A$2:$A$18,Master!$B$39:$AF$39)&gt;0) )</f>
        <v>1</v>
      </c>
      <c r="H34" s="65" cm="1">
        <f t="array" ref="H34">SUMPRODUCT( (Master!$B$50:$AE$52=$B34) * (COUNTIF(PH!$A$2:$A$18,Master!$B$48:$AE$48)&gt;0) )</f>
        <v>1</v>
      </c>
      <c r="I34" s="65" cm="1">
        <f t="array" ref="I34">SUMPRODUCT( (Master!$B$59:$AF$61=$B34) * (COUNTIF(PH!$A$2:$A$18,Master!$B$57:$AF$57)&gt;0) )</f>
        <v>0</v>
      </c>
      <c r="J34" s="65" cm="1">
        <f t="array" ref="J34">SUMPRODUCT( (Master!$B$68:$AF$70=$B34) * (COUNTIF(PH!$A$2:$A$18,Master!$B$66:$AF$66)&gt;0) )</f>
        <v>0</v>
      </c>
      <c r="K34" s="65" cm="1">
        <f t="array" ref="K34">SUMPRODUCT( (Master!$B$77:$AE$79=$B34) * (COUNTIF(PH!$A$2:$A$18,Master!$B$75:$AE$75)&gt;0) )</f>
        <v>1</v>
      </c>
      <c r="L34" s="65" cm="1">
        <f t="array" ref="L34">SUMPRODUCT( (Master!$B$86:$AF$88=$B34) * (COUNTIF(PH!$A$2:$A$18,Master!$B$84:$AF$84)&gt;0) )</f>
        <v>1</v>
      </c>
      <c r="M34" s="65" cm="1">
        <f t="array" ref="M34">SUMPRODUCT( (Master!$B$95:$AE$97=$B34) * (COUNTIF(PH!$A$2:$A$18,Master!$B$93:$AE$93)&gt;0) )</f>
        <v>0</v>
      </c>
      <c r="N34" s="65" cm="1">
        <f t="array" ref="N34">SUMPRODUCT( (Master!$B$104:$AF$106=$B34) * (COUNTIF(PH!$A$2:$A$99,Master!$B$102:$AF$102)&gt;0) )</f>
        <v>0</v>
      </c>
      <c r="O34" s="75">
        <f t="shared" si="2"/>
        <v>9</v>
      </c>
    </row>
    <row r="35" spans="1:15" ht="15.75" thickBot="1"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6"/>
      <c r="O35" s="75"/>
    </row>
    <row r="36" spans="1:15" ht="15.75" thickBot="1"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75"/>
    </row>
    <row r="37" spans="1:15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</row>
    <row r="38" spans="1:15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</row>
    <row r="39" spans="1:15" ht="45.75" thickBot="1">
      <c r="A39" s="10" t="s">
        <v>137</v>
      </c>
      <c r="B39" s="74"/>
      <c r="C39" s="76" t="s">
        <v>146</v>
      </c>
      <c r="D39" s="70" t="s">
        <v>29</v>
      </c>
      <c r="E39" s="70" t="s">
        <v>30</v>
      </c>
      <c r="F39" s="70" t="s">
        <v>31</v>
      </c>
      <c r="G39" s="70" t="s">
        <v>32</v>
      </c>
      <c r="H39" s="70" t="s">
        <v>33</v>
      </c>
      <c r="I39" s="70" t="s">
        <v>34</v>
      </c>
      <c r="J39" s="70" t="s">
        <v>35</v>
      </c>
      <c r="K39" s="70" t="s">
        <v>36</v>
      </c>
      <c r="L39" s="70" t="s">
        <v>37</v>
      </c>
      <c r="M39" s="70" t="s">
        <v>38</v>
      </c>
      <c r="N39" s="70" t="s">
        <v>39</v>
      </c>
      <c r="O39" s="74" t="s">
        <v>40</v>
      </c>
    </row>
    <row r="40" spans="1:15" ht="15.75" thickBot="1">
      <c r="B40" s="65" t="s">
        <v>21</v>
      </c>
      <c r="C40" s="65">
        <f>Jan!AO19</f>
        <v>-4</v>
      </c>
      <c r="D40" s="65">
        <f>Feb!AO19</f>
        <v>0</v>
      </c>
      <c r="E40" s="65">
        <f>Mar!AO19</f>
        <v>0</v>
      </c>
      <c r="F40" s="65">
        <f>Apr!AO19</f>
        <v>-4</v>
      </c>
      <c r="G40" s="65">
        <f>May!AO19</f>
        <v>4</v>
      </c>
      <c r="H40" s="65">
        <f>Jun!AO19</f>
        <v>-8</v>
      </c>
      <c r="I40" s="65">
        <f>Jul!AO19</f>
        <v>0</v>
      </c>
      <c r="J40" s="65">
        <f>Aug!AO19</f>
        <v>-4</v>
      </c>
      <c r="K40" s="65">
        <f>Sep!AO19</f>
        <v>4</v>
      </c>
      <c r="L40" s="65">
        <f>Oct!AO19</f>
        <v>4</v>
      </c>
      <c r="M40" s="65">
        <f>Nov!AO19</f>
        <v>0</v>
      </c>
      <c r="N40" s="65">
        <f>Dec!AO19</f>
        <v>-4</v>
      </c>
      <c r="O40" s="75">
        <f>SUM(C40:N40)</f>
        <v>-12</v>
      </c>
    </row>
    <row r="41" spans="1:15" ht="15.75" thickBot="1">
      <c r="B41" s="65" t="s">
        <v>119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75"/>
    </row>
    <row r="42" spans="1:15" ht="15.75" thickBot="1">
      <c r="B42" s="65" t="s">
        <v>24</v>
      </c>
      <c r="C42" s="65">
        <f>Jan!AO21</f>
        <v>-4</v>
      </c>
      <c r="D42" s="65">
        <f>Feb!AO21</f>
        <v>0</v>
      </c>
      <c r="E42" s="65">
        <f>Mar!AO21</f>
        <v>-8</v>
      </c>
      <c r="F42" s="65">
        <f>Apr!AO21</f>
        <v>8</v>
      </c>
      <c r="G42" s="65">
        <f>May!AO21</f>
        <v>-4</v>
      </c>
      <c r="H42" s="65">
        <f>Jun!AO21</f>
        <v>-8</v>
      </c>
      <c r="I42" s="65">
        <f>Jul!AO21</f>
        <v>0</v>
      </c>
      <c r="J42" s="65">
        <f>Aug!AO21</f>
        <v>4</v>
      </c>
      <c r="K42" s="65">
        <f>Sep!AO21</f>
        <v>0</v>
      </c>
      <c r="L42" s="65">
        <f>Oct!AO21</f>
        <v>-4</v>
      </c>
      <c r="M42" s="65">
        <f>Nov!AO21</f>
        <v>8</v>
      </c>
      <c r="N42" s="65">
        <f>Dec!AO21</f>
        <v>0</v>
      </c>
      <c r="O42" s="75">
        <f t="shared" ref="O42:O47" si="3">SUM(C42:N42)</f>
        <v>-8</v>
      </c>
    </row>
    <row r="43" spans="1:15" ht="15.75" thickBot="1">
      <c r="B43" s="65" t="s">
        <v>22</v>
      </c>
      <c r="C43" s="65">
        <f>Jan!AO22</f>
        <v>-4</v>
      </c>
      <c r="D43" s="65">
        <f>Feb!AO22</f>
        <v>-8</v>
      </c>
      <c r="E43" s="65">
        <f>Mar!AO22</f>
        <v>8</v>
      </c>
      <c r="F43" s="65">
        <f>Apr!AO22</f>
        <v>0</v>
      </c>
      <c r="G43" s="65">
        <f>May!AO22</f>
        <v>4</v>
      </c>
      <c r="H43" s="65">
        <f>Jun!AO22</f>
        <v>0</v>
      </c>
      <c r="I43" s="65">
        <f>Jul!AO22</f>
        <v>0</v>
      </c>
      <c r="J43" s="65">
        <f>Aug!AO22</f>
        <v>-4</v>
      </c>
      <c r="K43" s="65">
        <f>Sep!AO22</f>
        <v>0</v>
      </c>
      <c r="L43" s="65">
        <f>Oct!AO22</f>
        <v>4</v>
      </c>
      <c r="M43" s="65">
        <f>Nov!AO22</f>
        <v>0</v>
      </c>
      <c r="N43" s="65">
        <f>Dec!AO22</f>
        <v>0</v>
      </c>
      <c r="O43" s="75">
        <f t="shared" si="3"/>
        <v>0</v>
      </c>
    </row>
    <row r="44" spans="1:15" ht="15.75" thickBot="1">
      <c r="B44" s="65" t="s">
        <v>23</v>
      </c>
      <c r="C44" s="65">
        <f>Jan!AO23</f>
        <v>4</v>
      </c>
      <c r="D44" s="65">
        <f>Feb!AO23</f>
        <v>0</v>
      </c>
      <c r="E44" s="65">
        <f>Mar!AO23</f>
        <v>-8</v>
      </c>
      <c r="F44" s="65">
        <f>Apr!AO23</f>
        <v>8</v>
      </c>
      <c r="G44" s="65">
        <f>May!AO23</f>
        <v>-4</v>
      </c>
      <c r="H44" s="65">
        <f>Jun!AO23</f>
        <v>8</v>
      </c>
      <c r="I44" s="65">
        <f>Jul!AO23</f>
        <v>0</v>
      </c>
      <c r="J44" s="65">
        <f>Aug!AO23</f>
        <v>-4</v>
      </c>
      <c r="K44" s="65">
        <f>Sep!AO23</f>
        <v>0</v>
      </c>
      <c r="L44" s="65">
        <f>Oct!AO23</f>
        <v>-4</v>
      </c>
      <c r="M44" s="65">
        <f>Nov!AO23</f>
        <v>0</v>
      </c>
      <c r="N44" s="65">
        <f>Dec!AO23</f>
        <v>0</v>
      </c>
      <c r="O44" s="75">
        <f t="shared" si="3"/>
        <v>0</v>
      </c>
    </row>
    <row r="45" spans="1:15" ht="15.75" thickBot="1">
      <c r="B45" s="65" t="s">
        <v>25</v>
      </c>
      <c r="C45" s="65">
        <f>Jan!AO24</f>
        <v>4</v>
      </c>
      <c r="D45" s="65">
        <f>Feb!AO24</f>
        <v>0</v>
      </c>
      <c r="E45" s="65">
        <f>Mar!AO24</f>
        <v>8</v>
      </c>
      <c r="F45" s="65">
        <f>Apr!AO24</f>
        <v>-8</v>
      </c>
      <c r="G45" s="65">
        <f>May!AO24</f>
        <v>4</v>
      </c>
      <c r="H45" s="65">
        <f>Jun!AO24</f>
        <v>-8</v>
      </c>
      <c r="I45" s="65">
        <f>Jul!AO24</f>
        <v>0</v>
      </c>
      <c r="J45" s="65">
        <f>Aug!AO24</f>
        <v>4</v>
      </c>
      <c r="K45" s="65">
        <f>Sep!AO24</f>
        <v>8</v>
      </c>
      <c r="L45" s="65">
        <f>Oct!AO24</f>
        <v>-4</v>
      </c>
      <c r="M45" s="65">
        <f>Nov!AO24</f>
        <v>0</v>
      </c>
      <c r="N45" s="65">
        <f>Dec!AO24</f>
        <v>0</v>
      </c>
      <c r="O45" s="75">
        <f t="shared" si="3"/>
        <v>8</v>
      </c>
    </row>
    <row r="46" spans="1:15" ht="15.75" thickBot="1">
      <c r="B46" s="65" t="s">
        <v>27</v>
      </c>
      <c r="C46" s="65">
        <f>Jan!AO25</f>
        <v>-4</v>
      </c>
      <c r="D46" s="65">
        <f>Feb!AO25</f>
        <v>8</v>
      </c>
      <c r="E46" s="65">
        <f>Mar!AO25</f>
        <v>0</v>
      </c>
      <c r="F46" s="65">
        <f>Apr!AO25</f>
        <v>0</v>
      </c>
      <c r="G46" s="65">
        <f>May!AO25</f>
        <v>-4</v>
      </c>
      <c r="H46" s="65">
        <f>Jun!AO25</f>
        <v>0</v>
      </c>
      <c r="I46" s="65">
        <f>Jul!AO25</f>
        <v>0</v>
      </c>
      <c r="J46" s="65">
        <f>Aug!AO25</f>
        <v>-4</v>
      </c>
      <c r="K46" s="65">
        <f>Sep!AO25</f>
        <v>8</v>
      </c>
      <c r="L46" s="65">
        <f>Oct!AO25</f>
        <v>4</v>
      </c>
      <c r="M46" s="65">
        <f>Nov!AO25</f>
        <v>-8</v>
      </c>
      <c r="N46" s="65">
        <f>Dec!AO25</f>
        <v>0</v>
      </c>
      <c r="O46" s="75">
        <f t="shared" si="3"/>
        <v>0</v>
      </c>
    </row>
    <row r="47" spans="1:15" ht="15.75" thickBot="1">
      <c r="B47" s="65" t="s">
        <v>26</v>
      </c>
      <c r="C47" s="65">
        <f>Jan!AO26</f>
        <v>4</v>
      </c>
      <c r="D47" s="65">
        <f>Feb!AO26</f>
        <v>0</v>
      </c>
      <c r="E47" s="65">
        <f>Mar!AO26</f>
        <v>0</v>
      </c>
      <c r="F47" s="65">
        <f>Apr!AO26</f>
        <v>-8</v>
      </c>
      <c r="G47" s="65">
        <f>May!AO26</f>
        <v>4</v>
      </c>
      <c r="H47" s="65">
        <f>Jun!AO26</f>
        <v>8</v>
      </c>
      <c r="I47" s="65">
        <f>Jul!AO26</f>
        <v>0</v>
      </c>
      <c r="J47" s="65">
        <f>Aug!AO26</f>
        <v>4</v>
      </c>
      <c r="K47" s="65">
        <f>Sep!AO26</f>
        <v>-16</v>
      </c>
      <c r="L47" s="65">
        <f>Oct!AO26</f>
        <v>4</v>
      </c>
      <c r="M47" s="65">
        <f>Nov!AO26</f>
        <v>0</v>
      </c>
      <c r="N47" s="65">
        <f>Dec!AO26</f>
        <v>0</v>
      </c>
      <c r="O47" s="75">
        <f t="shared" si="3"/>
        <v>0</v>
      </c>
    </row>
    <row r="48" spans="1:15" ht="15.75" thickBot="1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6"/>
      <c r="O48" s="75"/>
    </row>
  </sheetData>
  <phoneticPr fontId="3" type="noConversion"/>
  <conditionalFormatting sqref="C40:O47">
    <cfRule type="expression" dxfId="1" priority="1">
      <formula>C40&gt;0</formula>
    </cfRule>
    <cfRule type="expression" dxfId="0" priority="2">
      <formula>C40&lt;0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9067-1091-4694-992E-47F36981353A}">
  <sheetPr codeName="Sheet15"/>
  <dimension ref="A1:B18"/>
  <sheetViews>
    <sheetView workbookViewId="0">
      <selection activeCell="A2" sqref="A2"/>
    </sheetView>
  </sheetViews>
  <sheetFormatPr defaultRowHeight="15"/>
  <cols>
    <col min="1" max="1" width="20.42578125" style="1" customWidth="1"/>
    <col min="2" max="2" width="20.5703125" customWidth="1"/>
  </cols>
  <sheetData>
    <row r="1" spans="1:2">
      <c r="A1" s="4" t="s">
        <v>17</v>
      </c>
      <c r="B1" s="2" t="s">
        <v>18</v>
      </c>
    </row>
    <row r="2" spans="1:2" ht="30">
      <c r="A2" s="5">
        <v>46023</v>
      </c>
      <c r="B2" s="3" t="s">
        <v>0</v>
      </c>
    </row>
    <row r="3" spans="1:2">
      <c r="A3" s="5">
        <v>46070</v>
      </c>
      <c r="B3" s="3" t="s">
        <v>1</v>
      </c>
    </row>
    <row r="4" spans="1:2">
      <c r="A4" s="5">
        <v>46071</v>
      </c>
      <c r="B4" s="3" t="s">
        <v>2</v>
      </c>
    </row>
    <row r="5" spans="1:2">
      <c r="A5" s="5">
        <v>46072</v>
      </c>
      <c r="B5" s="3" t="s">
        <v>3</v>
      </c>
    </row>
    <row r="6" spans="1:2" ht="30">
      <c r="A6" s="5">
        <v>46115</v>
      </c>
      <c r="B6" s="3" t="s">
        <v>4</v>
      </c>
    </row>
    <row r="7" spans="1:2">
      <c r="A7" s="5">
        <v>46116</v>
      </c>
      <c r="B7" s="3" t="s">
        <v>5</v>
      </c>
    </row>
    <row r="8" spans="1:2">
      <c r="A8" s="5">
        <v>46118</v>
      </c>
      <c r="B8" s="3" t="s">
        <v>6</v>
      </c>
    </row>
    <row r="9" spans="1:2" ht="30">
      <c r="A9" s="5">
        <v>46119</v>
      </c>
      <c r="B9" s="3" t="s">
        <v>7</v>
      </c>
    </row>
    <row r="10" spans="1:2">
      <c r="A10" s="5">
        <v>46143</v>
      </c>
      <c r="B10" s="3" t="s">
        <v>8</v>
      </c>
    </row>
    <row r="11" spans="1:2">
      <c r="A11" s="5">
        <v>46167</v>
      </c>
      <c r="B11" s="3" t="s">
        <v>9</v>
      </c>
    </row>
    <row r="12" spans="1:2">
      <c r="A12" s="5">
        <v>46192</v>
      </c>
      <c r="B12" s="3" t="s">
        <v>10</v>
      </c>
    </row>
    <row r="13" spans="1:2">
      <c r="A13" s="5">
        <v>46204</v>
      </c>
      <c r="B13" s="3" t="s">
        <v>11</v>
      </c>
    </row>
    <row r="14" spans="1:2">
      <c r="A14" s="5">
        <v>46291</v>
      </c>
      <c r="B14" s="3" t="s">
        <v>12</v>
      </c>
    </row>
    <row r="15" spans="1:2" ht="30">
      <c r="A15" s="5">
        <v>46296</v>
      </c>
      <c r="B15" s="3" t="s">
        <v>13</v>
      </c>
    </row>
    <row r="16" spans="1:2" ht="30">
      <c r="A16" s="5">
        <v>46314</v>
      </c>
      <c r="B16" s="3" t="s">
        <v>14</v>
      </c>
    </row>
    <row r="17" spans="1:2">
      <c r="A17" s="5">
        <v>46381</v>
      </c>
      <c r="B17" s="3" t="s">
        <v>15</v>
      </c>
    </row>
    <row r="18" spans="1:2">
      <c r="A18" s="5">
        <v>46382</v>
      </c>
      <c r="B18" s="3" t="s">
        <v>16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Master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On call stat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Heart-17 Asia</dc:creator>
  <cp:lastModifiedBy>Canossa01</cp:lastModifiedBy>
  <cp:lastPrinted>2025-12-16T05:57:28Z</cp:lastPrinted>
  <dcterms:created xsi:type="dcterms:W3CDTF">2025-12-04T07:57:36Z</dcterms:created>
  <dcterms:modified xsi:type="dcterms:W3CDTF">2026-03-30T05:13:21Z</dcterms:modified>
</cp:coreProperties>
</file>